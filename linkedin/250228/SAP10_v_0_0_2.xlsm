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lunet-my.sharepoint.com/personal/cvskf_lunet_lboro_ac_uk/Documents/_Git/stevenkfirth/stevenfirth/linkedin/250228/"/>
    </mc:Choice>
  </mc:AlternateContent>
  <xr:revisionPtr revIDLastSave="741595" documentId="13_ncr:1_{161A4CF5-0596-4E90-93F0-9E9CA80BEE8F}" xr6:coauthVersionLast="47" xr6:coauthVersionMax="47" xr10:uidLastSave="{FD85B53E-5E0D-452B-861C-D4BDE1D04A8C}"/>
  <bookViews>
    <workbookView xWindow="-120" yWindow="-120" windowWidth="29040" windowHeight="15840" activeTab="2" xr2:uid="{46270CBE-4CF2-4DBB-9EDC-526DF8148438}"/>
  </bookViews>
  <sheets>
    <sheet name="Cover_Sheet" sheetId="10" r:id="rId1"/>
    <sheet name="SAP10_Inputs" sheetId="1" r:id="rId2"/>
    <sheet name="SAP10_Results" sheetId="9" r:id="rId3"/>
    <sheet name="Authorization" sheetId="2" r:id="rId4"/>
    <sheet name="XMLSchema_Info" sheetId="8" r:id="rId5"/>
  </sheets>
  <functionGroups builtInGroupCount="19"/>
  <definedNames>
    <definedName name="__SAP_Compliance_Report__SAP_Report">SAP10_Inputs!#REF!</definedName>
    <definedName name="_xleta.LOWER" hidden="1" xlm="1">#NAME?</definedName>
    <definedName name="authorization_token">Authorization!$A$4</definedName>
    <definedName name="calculation_method">SAP10_Inputs!$N$2</definedName>
    <definedName name="closing_xml_tag_column">SAP10_Inputs!$O:$O</definedName>
    <definedName name="day">SAP10_Inputs!$N$6</definedName>
    <definedName name="electricity_unit_price">SAP10_Results!$GZ$39</definedName>
    <definedName name="instantaneous_electric_showers_emission_factor_description">SAP10_Results!$HO$19</definedName>
    <definedName name="lighting_emission_factor_description">SAP10_Results!$HO$27</definedName>
    <definedName name="Main_Heating_Details__Main_Heating__Has_Separate_Delayed_Start">SAP10_Inputs!#REF!</definedName>
    <definedName name="Main_Heating_Details__Main_Heating__Heat_Emitter_Type">SAP10_Inputs!#REF!</definedName>
    <definedName name="Main_Heating_Details__Main_Heating__Is_Central_Heating_Pump_In_Heated_Space">SAP10_Inputs!#REF!</definedName>
    <definedName name="Main_Heating_Details__Main_Heating__Is_Interlocked_System">SAP10_Inputs!#REF!</definedName>
    <definedName name="Main_Heating_Details__Main_Heating__Main_Fuel_Type">SAP10_Inputs!#REF!</definedName>
    <definedName name="Main_Heating_Details__Main_Heating__Main_Heating_Category">SAP10_Inputs!#REF!</definedName>
    <definedName name="Main_Heating_Details__Main_Heating__Main_Heating_Code">SAP10_Inputs!#REF!</definedName>
    <definedName name="Main_Heating_Details__Main_Heating__Main_Heating_Control">SAP10_Inputs!#REF!</definedName>
    <definedName name="Main_Heating_Details__Main_Heating__Main_Heating_Data_Source">SAP10_Inputs!#REF!</definedName>
    <definedName name="Main_Heating_Details__Main_Heating__Main_Heating_Fraction">SAP10_Inputs!#REF!</definedName>
    <definedName name="Main_Heating_Details__Main_Heating__Main_Heating_Number">SAP10_Inputs!#REF!</definedName>
    <definedName name="month">SAP10_Inputs!$N$5</definedName>
    <definedName name="opening_XML_tag_column">SAP10_Inputs!$K:$K</definedName>
    <definedName name="pumps_fans_and_electric_keep_hot_emission_factor_description">SAP10_Results!$HO$25</definedName>
    <definedName name="ROOT">SAP10_Inputs!#REF!</definedName>
    <definedName name="sap_22a_1">SAP10_Results!$AD$14</definedName>
    <definedName name="sap_band">SAP10_Results!$HH$14</definedName>
    <definedName name="SAP_Building_Part__SAP_Floor_Dimensions__SAP_Floor_Dimension">SAP10_Inputs!#REF!</definedName>
    <definedName name="SAP_Building_Part__SAP_Openings__SAP_Opening">SAP10_Inputs!#REF!</definedName>
    <definedName name="SAP_Building_Part__SAP_Roofs__SAP_Roof">SAP10_Inputs!#REF!</definedName>
    <definedName name="SAP_Building_Part__SAP_Thermal_Bridges__Thermal_Bridge_Code">SAP10_Inputs!#REF!</definedName>
    <definedName name="SAP_Building_Part__SAP_Walls__SAP_Wall">SAP10_Inputs!#REF!</definedName>
    <definedName name="SAP_Building_Parts__SAP_Building_Part__Building_Part_Number">SAP10_Inputs!#REF!</definedName>
    <definedName name="SAP_Building_Parts__SAP_Building_Part__SAP_Floor_Dimensions">SAP10_Inputs!#REF!</definedName>
    <definedName name="SAP_Building_Parts__SAP_Building_Part__SAP_Openings">SAP10_Inputs!#REF!</definedName>
    <definedName name="SAP_Building_Parts__SAP_Building_Part__SAP_Roofs">SAP10_Inputs!#REF!</definedName>
    <definedName name="SAP_Building_Parts__SAP_Building_Part__SAP_Thermal_Bridges">SAP10_Inputs!#REF!</definedName>
    <definedName name="SAP_Building_Parts__SAP_Building_Part__SAP_Walls">SAP10_Inputs!#REF!</definedName>
    <definedName name="SAP_Compliance_Report__SAP_Report__SAP_Version">SAP10_Inputs!#REF!</definedName>
    <definedName name="SAP_Compliance_Report__SAP_Report__SAP10_Data">SAP10_Inputs!#REF!</definedName>
    <definedName name="SAP_Compliance_Report__SAP_Report__Schema_Version_Original">SAP10_Inputs!#REF!</definedName>
    <definedName name="SAP_Floor_Dimensions__SAP_Floor_Dimension__Floor_Type">SAP10_Inputs!#REF!</definedName>
    <definedName name="SAP_Floor_Dimensions__SAP_Floor_Dimension__Heat_Loss_Area">SAP10_Inputs!#REF!</definedName>
    <definedName name="SAP_Floor_Dimensions__SAP_Floor_Dimension__Storey">SAP10_Inputs!#REF!</definedName>
    <definedName name="SAP_Floor_Dimensions__SAP_Floor_Dimension__Storey_Height">SAP10_Inputs!#REF!</definedName>
    <definedName name="SAP_Floor_Dimensions__SAP_Floor_Dimension__Total_Floor_Area">SAP10_Inputs!#REF!</definedName>
    <definedName name="SAP_Floor_Dimensions__SAP_Floor_Dimension__U_Value">SAP10_Inputs!#REF!</definedName>
    <definedName name="SAP_Heating__Main_Heating_Details__Main_Heating">SAP10_Inputs!#REF!</definedName>
    <definedName name="SAP_Opening_Types__SAP_Opening_Type__Data_Source">SAP10_Inputs!#REF!</definedName>
    <definedName name="SAP_Opening_Types__SAP_Opening_Type__Glazing_Type">SAP10_Inputs!#REF!</definedName>
    <definedName name="SAP_Opening_Types__SAP_Opening_Type__Name">SAP10_Inputs!#REF!</definedName>
    <definedName name="SAP_Opening_Types__SAP_Opening_Type__Type">SAP10_Inputs!#REF!</definedName>
    <definedName name="SAP_Opening_Types__SAP_Opening_Type__U_Value">SAP10_Inputs!#REF!</definedName>
    <definedName name="SAP_Openings__SAP_Opening__Height">SAP10_Inputs!#REF!</definedName>
    <definedName name="SAP_Openings__SAP_Opening__Location">SAP10_Inputs!#REF!</definedName>
    <definedName name="SAP_Openings__SAP_Opening__Orientation">SAP10_Inputs!#REF!</definedName>
    <definedName name="SAP_Openings__SAP_Opening__Type">SAP10_Inputs!#REF!</definedName>
    <definedName name="SAP_Openings__SAP_Opening__Width">SAP10_Inputs!#REF!</definedName>
    <definedName name="SAP_Property_Details__SAP_Building_Parts__SAP_Building_Part">SAP10_Inputs!#REF!</definedName>
    <definedName name="SAP_Property_Details__SAP_Heating__Has_Hot_Water_Cylinder">SAP10_Inputs!#REF!</definedName>
    <definedName name="SAP_Property_Details__SAP_Heating__Main_Heating_Details">SAP10_Inputs!#REF!</definedName>
    <definedName name="SAP_Property_Details__SAP_Heating__Secondary_Heating_Category">SAP10_Inputs!#REF!</definedName>
    <definedName name="SAP_Property_Details__SAP_Heating__Thermal_Store">SAP10_Inputs!#REF!</definedName>
    <definedName name="SAP_Property_Details__SAP_Heating__Water_Heating_Code">SAP10_Inputs!#REF!</definedName>
    <definedName name="SAP_Property_Details__SAP_Opening_Types__SAP_Opening_Type">SAP10_Inputs!#REF!</definedName>
    <definedName name="SAP_Property_Details__SAP_Ventilation__Air_Permeability">SAP10_Inputs!#REF!</definedName>
    <definedName name="SAP_Property_Details__SAP_Ventilation__Blocked_Chimneys_Count">SAP10_Inputs!#REF!</definedName>
    <definedName name="SAP_Property_Details__SAP_Ventilation__Boilers_Flues_Count">SAP10_Inputs!#REF!</definedName>
    <definedName name="SAP_Property_Details__SAP_Ventilation__Closed_Flues_Count">SAP10_Inputs!#REF!</definedName>
    <definedName name="SAP_Property_Details__SAP_Ventilation__Extract_Fans_Count">SAP10_Inputs!#REF!</definedName>
    <definedName name="SAP_Property_Details__SAP_Ventilation__Flueless_Gas_Fires_Count">SAP10_Inputs!#REF!</definedName>
    <definedName name="SAP_Property_Details__SAP_Ventilation__Open_Chimneys_Count">SAP10_Inputs!#REF!</definedName>
    <definedName name="SAP_Property_Details__SAP_Ventilation__Open_Flues_Count">SAP10_Inputs!#REF!</definedName>
    <definedName name="SAP_Property_Details__SAP_Ventilation__Other_Flues_Count">SAP10_Inputs!#REF!</definedName>
    <definedName name="SAP_Property_Details__SAP_Ventilation__Pressure_Test">SAP10_Inputs!#REF!</definedName>
    <definedName name="SAP_Property_Details__SAP_Ventilation__PSV_Count">SAP10_Inputs!#REF!</definedName>
    <definedName name="SAP_Property_Details__SAP_Ventilation__Sheltered_Sides_Count">SAP10_Inputs!#REF!</definedName>
    <definedName name="SAP_Property_Details__SAP_Ventilation__Ventilation_Type">SAP10_Inputs!#REF!</definedName>
    <definedName name="SAP_Report__SAP10_Data__Data_Type">SAP10_Inputs!#REF!</definedName>
    <definedName name="SAP_Report__SAP10_Data__SAP_Property_Details">SAP10_Inputs!#REF!</definedName>
    <definedName name="SAP_Roofs__SAP_Roof__Name">SAP10_Inputs!#REF!</definedName>
    <definedName name="SAP_Roofs__SAP_Roof__Roof_Type">SAP10_Inputs!#REF!</definedName>
    <definedName name="SAP_Roofs__SAP_Roof__Total_Roof_Area">SAP10_Inputs!#REF!</definedName>
    <definedName name="SAP_Roofs__SAP_Roof__U_Value">SAP10_Inputs!#REF!</definedName>
    <definedName name="SAP_Walls__SAP_Wall__Name">SAP10_Inputs!#REF!</definedName>
    <definedName name="SAP_Walls__SAP_Wall__Total_Wall_Area">SAP10_Inputs!#REF!</definedName>
    <definedName name="SAP_Walls__SAP_Wall__U_Value">SAP10_Inputs!#REF!</definedName>
    <definedName name="SAP_Walls__SAP_Wall__Wall_Type">SAP10_Inputs!#REF!</definedName>
    <definedName name="SAP10_Data__SAP_Property_Details__Cold_Water_Source">SAP10_Inputs!#REF!</definedName>
    <definedName name="SAP10_Data__SAP_Property_Details__Living_Area">SAP10_Inputs!#REF!</definedName>
    <definedName name="SAP10_Data__SAP_Property_Details__SAP_Building_Parts">SAP10_Inputs!#REF!</definedName>
    <definedName name="SAP10_Data__SAP_Property_Details__SAP_Heating">SAP10_Inputs!#REF!</definedName>
    <definedName name="SAP10_Data__SAP_Property_Details__SAP_Opening_Types">SAP10_Inputs!#REF!</definedName>
    <definedName name="SAP10_Data__SAP_Property_Details__SAP_Ventilation">SAP10_Inputs!#REF!</definedName>
    <definedName name="SAP10_Data__SAP_Property_Details__Windows_Overshading">SAP10_Inputs!#REF!</definedName>
    <definedName name="schema_code0_column">XMLSchema_Info!$J:$J</definedName>
    <definedName name="schema_data_type_column">XMLSchema_Info!$E:$E</definedName>
    <definedName name="schema_documentation_column">XMLSchema_Info!$H:$H</definedName>
    <definedName name="schema_element_name_column">XMLSchema_Info!$A:$A</definedName>
    <definedName name="schema_grandparent_name_column">XMLSchema_Info!$C:$C</definedName>
    <definedName name="schema_has_text_value_column">XMLSchema_Info!$D$1</definedName>
    <definedName name="schema_max_occurs_column">XMLSchema_Info!$G$1</definedName>
    <definedName name="schema_min_occurs_column">XMLSchema_Info!$F:$F</definedName>
    <definedName name="schema_number_of_codes_column">XMLSchema_Info!$I:$I</definedName>
    <definedName name="schema_number_of_codes_columns">XMLSchema_Info!$I:$I</definedName>
    <definedName name="schema_parent_name_column">XMLSchema_Info!$B:$B</definedName>
    <definedName name="space_cooling_emission_factor_description">SAP10_Results!$HO$23</definedName>
    <definedName name="space_heating_main_heating_1_emission_factor_description">SAP10_Results!$HO$10</definedName>
    <definedName name="space_heating_main_heating_2_emission_factor_description">SAP10_Results!$HO$12</definedName>
    <definedName name="space_heating_main_system_1_high_rate_fuel_price">SAP10_Results!$GZ$13</definedName>
    <definedName name="space_heating_main_system_1_low_rate_fuel_price">SAP10_Results!$GZ$14</definedName>
    <definedName name="space_heating_main_system_1_other_fuel_price">SAP10_Results!$GZ$15</definedName>
    <definedName name="space_heating_main_system_2_high_rate_fuel_price">SAP10_Results!$GZ$20</definedName>
    <definedName name="space_heating_main_system_2_low_rate_fuel_price">SAP10_Results!$GZ$21</definedName>
    <definedName name="space_heating_main_system_2_other_fuel_price">SAP10_Results!$GZ$22</definedName>
    <definedName name="space_heating_secondary_emission_factor_description">SAP10_Results!$HO$14</definedName>
    <definedName name="space_heating_secondary_heating_emission_factor_description">SAP10_Results!$HO$14</definedName>
    <definedName name="space_heating_secondary_high_rate_fuel_price">SAP10_Results!$GZ$27</definedName>
    <definedName name="space_heating_secondary_low_rate_fuel_price">SAP10_Results!$GZ$28</definedName>
    <definedName name="space_heating_secondary_other_fuel_price">SAP10_Results!$GZ$29</definedName>
    <definedName name="total_value_6a_7c">SAP10_Results!$S$21</definedName>
    <definedName name="value_1_building_part_1_level_0">SAP10_Results!$E$11</definedName>
    <definedName name="value_1_building_part_1_level_1">SAP10_Results!$E$12</definedName>
    <definedName name="value_1_building_part_1_level_2">SAP10_Results!$E$13</definedName>
    <definedName name="value_1_building_part_1_level_3">SAP10_Results!$E$14</definedName>
    <definedName name="value_1_building_part_1_level_minus_1">SAP10_Results!$E$10</definedName>
    <definedName name="value_1_building_part_1_level_other">SAP10_Results!$E$15</definedName>
    <definedName name="value_10">SAP10_Results!$Y$25</definedName>
    <definedName name="value_100_1">SAP10_Results!$FI$10</definedName>
    <definedName name="value_100_10">SAP10_Results!$FR$10</definedName>
    <definedName name="value_100_11">SAP10_Results!$FS$10</definedName>
    <definedName name="value_100_12">SAP10_Results!$FT$10</definedName>
    <definedName name="value_100_2">SAP10_Results!$FJ$10</definedName>
    <definedName name="value_100_3">SAP10_Results!$FK$10</definedName>
    <definedName name="value_100_4">SAP10_Results!$FL$10</definedName>
    <definedName name="value_100_5">SAP10_Results!$FM$10</definedName>
    <definedName name="value_100_6">SAP10_Results!$FN$10</definedName>
    <definedName name="value_100_7">SAP10_Results!$FO$10</definedName>
    <definedName name="value_100_8">SAP10_Results!$FP$10</definedName>
    <definedName name="value_100_9">SAP10_Results!$FQ$10</definedName>
    <definedName name="value_101_1">SAP10_Results!$FI$13</definedName>
    <definedName name="value_101_10">SAP10_Results!$FR$13</definedName>
    <definedName name="value_101_11">SAP10_Results!$FS$13</definedName>
    <definedName name="value_101_12">SAP10_Results!$FT$13</definedName>
    <definedName name="value_101_2">SAP10_Results!$FJ$13</definedName>
    <definedName name="value_101_3">SAP10_Results!$FK$13</definedName>
    <definedName name="value_101_4">SAP10_Results!$FL$13</definedName>
    <definedName name="value_101_5">SAP10_Results!$FM$13</definedName>
    <definedName name="value_101_6">SAP10_Results!$FN$13</definedName>
    <definedName name="value_101_7">SAP10_Results!$FO$13</definedName>
    <definedName name="value_101_8">SAP10_Results!$FP$13</definedName>
    <definedName name="value_101_9">SAP10_Results!$FQ$13</definedName>
    <definedName name="value_102_1">SAP10_Results!$FI$16</definedName>
    <definedName name="value_102_10">SAP10_Results!$FR$16</definedName>
    <definedName name="value_102_11">SAP10_Results!$FS$16</definedName>
    <definedName name="value_102_12">SAP10_Results!$FT$16</definedName>
    <definedName name="value_102_2">SAP10_Results!$FJ$16</definedName>
    <definedName name="value_102_3">SAP10_Results!$FK$16</definedName>
    <definedName name="value_102_4">SAP10_Results!$FL$16</definedName>
    <definedName name="value_102_5">SAP10_Results!$FM$16</definedName>
    <definedName name="value_102_6">SAP10_Results!$FN$16</definedName>
    <definedName name="value_102_7">SAP10_Results!$FO$16</definedName>
    <definedName name="value_102_8">SAP10_Results!$FP$16</definedName>
    <definedName name="value_102_9">SAP10_Results!$FQ$16</definedName>
    <definedName name="value_103_1">SAP10_Results!$FI$20</definedName>
    <definedName name="value_103_10">SAP10_Results!$FR$20</definedName>
    <definedName name="value_103_11">SAP10_Results!$FS$20</definedName>
    <definedName name="value_103_12">SAP10_Results!$FT$20</definedName>
    <definedName name="value_103_2">SAP10_Results!$FJ$20</definedName>
    <definedName name="value_103_3">SAP10_Results!$FK$20</definedName>
    <definedName name="value_103_4">SAP10_Results!$FL$20</definedName>
    <definedName name="value_103_5">SAP10_Results!$FM$20</definedName>
    <definedName name="value_103_6">SAP10_Results!$FN$20</definedName>
    <definedName name="value_103_7">SAP10_Results!$FO$20</definedName>
    <definedName name="value_103_8">SAP10_Results!$FP$20</definedName>
    <definedName name="value_103_9">SAP10_Results!$FQ$20</definedName>
    <definedName name="value_104">SAP10_Results!$FU$24</definedName>
    <definedName name="value_104_1">SAP10_Results!$FI$23</definedName>
    <definedName name="value_104_10">SAP10_Results!$FR$23</definedName>
    <definedName name="value_104_11">SAP10_Results!$FS$23</definedName>
    <definedName name="value_104_12">SAP10_Results!$FT$23</definedName>
    <definedName name="value_104_2">SAP10_Results!$FJ$23</definedName>
    <definedName name="value_104_3">SAP10_Results!$FK$23</definedName>
    <definedName name="value_104_4">SAP10_Results!$FL$23</definedName>
    <definedName name="value_104_5">SAP10_Results!$FM$23</definedName>
    <definedName name="value_104_6">SAP10_Results!$FN$23</definedName>
    <definedName name="value_104_7">SAP10_Results!$FO$23</definedName>
    <definedName name="value_104_8">SAP10_Results!$FP$23</definedName>
    <definedName name="value_104_9">SAP10_Results!$FQ$23</definedName>
    <definedName name="value_105">SAP10_Results!$FU$26</definedName>
    <definedName name="value_106">SAP10_Results!$FU$30</definedName>
    <definedName name="value_106_1">SAP10_Results!$FI$29</definedName>
    <definedName name="value_106_10">SAP10_Results!$FR$29</definedName>
    <definedName name="value_106_11">SAP10_Results!$FS$29</definedName>
    <definedName name="value_106_12">SAP10_Results!$FT$29</definedName>
    <definedName name="value_106_2">SAP10_Results!$FJ$29</definedName>
    <definedName name="value_106_3">SAP10_Results!$FK$29</definedName>
    <definedName name="value_106_4">SAP10_Results!$FL$29</definedName>
    <definedName name="value_106_5">SAP10_Results!$FM$29</definedName>
    <definedName name="value_106_6">SAP10_Results!$FN$29</definedName>
    <definedName name="value_106_7">SAP10_Results!$FO$29</definedName>
    <definedName name="value_106_8">SAP10_Results!$FP$29</definedName>
    <definedName name="value_106_9">SAP10_Results!$FQ$29</definedName>
    <definedName name="value_107">SAP10_Results!$FU$33</definedName>
    <definedName name="value_107_1">SAP10_Results!$FI$32</definedName>
    <definedName name="value_107_10">SAP10_Results!$FR$32</definedName>
    <definedName name="value_107_11">SAP10_Results!$FS$32</definedName>
    <definedName name="value_107_12">SAP10_Results!$FT$32</definedName>
    <definedName name="value_107_2">SAP10_Results!$FJ$32</definedName>
    <definedName name="value_107_3">SAP10_Results!$FK$32</definedName>
    <definedName name="value_107_4">SAP10_Results!$FL$32</definedName>
    <definedName name="value_107_5">SAP10_Results!$FM$32</definedName>
    <definedName name="value_107_6">SAP10_Results!$FN$32</definedName>
    <definedName name="value_107_7">SAP10_Results!$FO$32</definedName>
    <definedName name="value_107_8">SAP10_Results!$FP$32</definedName>
    <definedName name="value_107_9">SAP10_Results!$FQ$32</definedName>
    <definedName name="value_108">SAP10_Results!$FU$35</definedName>
    <definedName name="value_11">SAP10_Results!$Y$26</definedName>
    <definedName name="value_12">SAP10_Results!$Y$29</definedName>
    <definedName name="value_13">SAP10_Results!$Y$30</definedName>
    <definedName name="value_14">SAP10_Results!$Y$31</definedName>
    <definedName name="value_15">SAP10_Results!$Y$32</definedName>
    <definedName name="value_16">SAP10_Results!$Y$33</definedName>
    <definedName name="value_17">SAP10_Results!$Y$34</definedName>
    <definedName name="value_17a">SAP10_Results!$Y$35</definedName>
    <definedName name="value_18">SAP10_Results!$Y$37</definedName>
    <definedName name="value_19">SAP10_Results!$Y$41</definedName>
    <definedName name="value_2_building_part_1_level_0">SAP10_Results!$H$11</definedName>
    <definedName name="value_2_building_part_1_level_1">SAP10_Results!$H$12</definedName>
    <definedName name="value_2_building_part_1_level_2">SAP10_Results!$H$13</definedName>
    <definedName name="value_2_building_part_1_level_3">SAP10_Results!$H$14</definedName>
    <definedName name="value_2_building_part_1_level_minus_1">SAP10_Results!$H$10</definedName>
    <definedName name="value_2_building_part_1_level_other">SAP10_Results!$H$15</definedName>
    <definedName name="value_20">SAP10_Results!$Y$42</definedName>
    <definedName name="value_201">SAP10_Results!$GR$9</definedName>
    <definedName name="value_202">SAP10_Results!$GR$11</definedName>
    <definedName name="value_203">SAP10_Results!$GR$13</definedName>
    <definedName name="value_204">SAP10_Results!$GR$15</definedName>
    <definedName name="value_205">SAP10_Results!$GR$17</definedName>
    <definedName name="value_206">SAP10_Results!$GR$19</definedName>
    <definedName name="value_207">SAP10_Results!$GR$24</definedName>
    <definedName name="value_208">SAP10_Results!$GR$28</definedName>
    <definedName name="value_209">SAP10_Results!$GR$30</definedName>
    <definedName name="value_21">SAP10_Results!$Y$43</definedName>
    <definedName name="value_211">SAP10_Results!$GR$40</definedName>
    <definedName name="value_211_1">SAP10_Results!$GF$39</definedName>
    <definedName name="value_211_10">SAP10_Results!$GO$39</definedName>
    <definedName name="value_211_11">SAP10_Results!$GP$39</definedName>
    <definedName name="value_211_12">SAP10_Results!$GQ$39</definedName>
    <definedName name="value_211_2">SAP10_Results!$GG$39</definedName>
    <definedName name="value_211_3">SAP10_Results!$GH$39</definedName>
    <definedName name="value_211_4">SAP10_Results!$GI$39</definedName>
    <definedName name="value_211_5">SAP10_Results!$GJ$39</definedName>
    <definedName name="value_211_6">SAP10_Results!$GK$39</definedName>
    <definedName name="value_211_7">SAP10_Results!$GL$39</definedName>
    <definedName name="value_211_8">SAP10_Results!$GM$39</definedName>
    <definedName name="value_211_9">SAP10_Results!$GN$39</definedName>
    <definedName name="value_213">SAP10_Results!$GR$44</definedName>
    <definedName name="value_213_1">SAP10_Results!$GF$43</definedName>
    <definedName name="value_213_10">SAP10_Results!$GO$43</definedName>
    <definedName name="value_213_11">SAP10_Results!$GP$43</definedName>
    <definedName name="value_213_12">SAP10_Results!$GQ$43</definedName>
    <definedName name="value_213_2">SAP10_Results!$GG$43</definedName>
    <definedName name="value_213_3">SAP10_Results!$GH$43</definedName>
    <definedName name="value_213_4">SAP10_Results!$GI$43</definedName>
    <definedName name="value_213_5">SAP10_Results!$GJ$43</definedName>
    <definedName name="value_213_6">SAP10_Results!$GK$43</definedName>
    <definedName name="value_213_7">SAP10_Results!$GL$43</definedName>
    <definedName name="value_213_8">SAP10_Results!$GM$43</definedName>
    <definedName name="value_213_9">SAP10_Results!$GN$43</definedName>
    <definedName name="value_215">SAP10_Results!$GR$48</definedName>
    <definedName name="value_215_1">SAP10_Results!$GF$47</definedName>
    <definedName name="value_215_10">SAP10_Results!$GO$47</definedName>
    <definedName name="value_215_11">SAP10_Results!$GP$47</definedName>
    <definedName name="value_215_12">SAP10_Results!$GQ$47</definedName>
    <definedName name="value_215_2">SAP10_Results!$GG$47</definedName>
    <definedName name="value_215_3">SAP10_Results!$GH$47</definedName>
    <definedName name="value_215_4">SAP10_Results!$GI$47</definedName>
    <definedName name="value_215_5">SAP10_Results!$GJ$47</definedName>
    <definedName name="value_215_6">SAP10_Results!$GK$47</definedName>
    <definedName name="value_215_7">SAP10_Results!$GL$47</definedName>
    <definedName name="value_215_8">SAP10_Results!$GM$47</definedName>
    <definedName name="value_215_9">SAP10_Results!$GN$47</definedName>
    <definedName name="value_217_1">SAP10_Results!$GF$61</definedName>
    <definedName name="value_217_10">SAP10_Results!$GO$61</definedName>
    <definedName name="value_217_11">SAP10_Results!$GP$61</definedName>
    <definedName name="value_217_12">SAP10_Results!$GQ$61</definedName>
    <definedName name="value_217_2">SAP10_Results!$GG$61</definedName>
    <definedName name="value_217_3">SAP10_Results!$GH$61</definedName>
    <definedName name="value_217_4">SAP10_Results!$GI$61</definedName>
    <definedName name="value_217_5">SAP10_Results!$GJ$61</definedName>
    <definedName name="value_217_6">SAP10_Results!$GK$61</definedName>
    <definedName name="value_217_7">SAP10_Results!$GL$61</definedName>
    <definedName name="value_217_8">SAP10_Results!$GM$61</definedName>
    <definedName name="value_217_9">SAP10_Results!$GN$61</definedName>
    <definedName name="value_219">SAP10_Results!$GR$65</definedName>
    <definedName name="value_219_1">SAP10_Results!$GF$64</definedName>
    <definedName name="value_219_10">SAP10_Results!$GO$64</definedName>
    <definedName name="value_219_11">SAP10_Results!$GP$64</definedName>
    <definedName name="value_219_12">SAP10_Results!$GQ$64</definedName>
    <definedName name="value_219_2">SAP10_Results!$GG$64</definedName>
    <definedName name="value_219_3">SAP10_Results!$GH$64</definedName>
    <definedName name="value_219_4">SAP10_Results!$GI$64</definedName>
    <definedName name="value_219_5">SAP10_Results!$GJ$64</definedName>
    <definedName name="value_219_6">SAP10_Results!$GK$64</definedName>
    <definedName name="value_219_7">SAP10_Results!$GL$64</definedName>
    <definedName name="value_219_8">SAP10_Results!$GM$64</definedName>
    <definedName name="value_219_9">SAP10_Results!$GN$64</definedName>
    <definedName name="value_22_1">SAP10_Results!$AD$11</definedName>
    <definedName name="value_22_10">SAP10_Results!$AM$11</definedName>
    <definedName name="value_22_11">SAP10_Results!$AN$11</definedName>
    <definedName name="value_22_12">SAP10_Results!$AO$11</definedName>
    <definedName name="value_22_2">SAP10_Results!$AE$11</definedName>
    <definedName name="value_22_3">SAP10_Results!$AF$11</definedName>
    <definedName name="value_22_4">SAP10_Results!$AG$11</definedName>
    <definedName name="value_22_5">SAP10_Results!$AH$11</definedName>
    <definedName name="value_22_6">SAP10_Results!$AI$11</definedName>
    <definedName name="value_22_7">SAP10_Results!$AJ$11</definedName>
    <definedName name="value_22_8">SAP10_Results!$AK$11</definedName>
    <definedName name="value_22_9">SAP10_Results!$AL$11</definedName>
    <definedName name="value_221">SAP10_Results!$GR$71</definedName>
    <definedName name="value_221_1">SAP10_Results!$GF$70</definedName>
    <definedName name="value_221_10">SAP10_Results!$GO$70</definedName>
    <definedName name="value_221_11">SAP10_Results!$GP$70</definedName>
    <definedName name="value_221_12">SAP10_Results!$GQ$70</definedName>
    <definedName name="value_221_2">SAP10_Results!$GG$70</definedName>
    <definedName name="value_221_3">SAP10_Results!$GH$70</definedName>
    <definedName name="value_221_4">SAP10_Results!$GI$70</definedName>
    <definedName name="value_221_5">SAP10_Results!$GJ$70</definedName>
    <definedName name="value_221_6">SAP10_Results!$GK$70</definedName>
    <definedName name="value_221_7">SAP10_Results!$GL$70</definedName>
    <definedName name="value_221_8">SAP10_Results!$GM$70</definedName>
    <definedName name="value_221_9">SAP10_Results!$GN$70</definedName>
    <definedName name="value_22a_1">SAP10_Results!$AD$14</definedName>
    <definedName name="value_22a_10">SAP10_Results!$AM$14</definedName>
    <definedName name="value_22a_11">SAP10_Results!$AN$14</definedName>
    <definedName name="value_22a_12">SAP10_Results!$AO$14</definedName>
    <definedName name="value_22a_2">SAP10_Results!$AE$14</definedName>
    <definedName name="value_22a_3">SAP10_Results!$AF$14</definedName>
    <definedName name="value_22a_4">SAP10_Results!$AG$14</definedName>
    <definedName name="value_22a_5">SAP10_Results!$AH$14</definedName>
    <definedName name="value_22a_6">SAP10_Results!$AI$14</definedName>
    <definedName name="value_22a_7">SAP10_Results!$AJ$14</definedName>
    <definedName name="value_22a_8">SAP10_Results!$AK$14</definedName>
    <definedName name="value_22a_9">SAP10_Results!$AL$14</definedName>
    <definedName name="value_22b_1">SAP10_Results!$AD$17</definedName>
    <definedName name="value_22b_10">SAP10_Results!$AM$17</definedName>
    <definedName name="value_22b_11">SAP10_Results!$AN$17</definedName>
    <definedName name="value_22b_12">SAP10_Results!$AO$17</definedName>
    <definedName name="value_22b_2">SAP10_Results!$AE$17</definedName>
    <definedName name="value_22b_3">SAP10_Results!$AF$17</definedName>
    <definedName name="value_22b_4">SAP10_Results!$AG$17</definedName>
    <definedName name="value_22b_5">SAP10_Results!$AH$17</definedName>
    <definedName name="value_22b_6">SAP10_Results!$AI$17</definedName>
    <definedName name="value_22b_7">SAP10_Results!$AJ$17</definedName>
    <definedName name="value_22b_8">SAP10_Results!$AK$17</definedName>
    <definedName name="value_22b_9">SAP10_Results!$AL$17</definedName>
    <definedName name="value_23_net_area">SAP10_Results!$AZ$23</definedName>
    <definedName name="value_230a">SAP10_Results!$GQ$81</definedName>
    <definedName name="value_230b">SAP10_Results!$GQ$82</definedName>
    <definedName name="value_230c">SAP10_Results!$GQ$83</definedName>
    <definedName name="value_230d">SAP10_Results!$GQ$84</definedName>
    <definedName name="value_230e">SAP10_Results!$GQ$85</definedName>
    <definedName name="value_230f">SAP10_Results!$GQ$86</definedName>
    <definedName name="value_230g">SAP10_Results!$GQ$87</definedName>
    <definedName name="value_230h">SAP10_Results!$GQ$88</definedName>
    <definedName name="value_231">SAP10_Results!$GR$89</definedName>
    <definedName name="value_232">SAP10_Results!$GR$91</definedName>
    <definedName name="value_233a">SAP10_Results!$GQ$97</definedName>
    <definedName name="value_233a_1">SAP10_Results!$GE$96</definedName>
    <definedName name="value_233a_10">SAP10_Results!$GN$96</definedName>
    <definedName name="value_233a_11">SAP10_Results!$GO$96</definedName>
    <definedName name="value_233a_12">SAP10_Results!$GP$96</definedName>
    <definedName name="value_233a_2">SAP10_Results!$GF$96</definedName>
    <definedName name="value_233a_3">SAP10_Results!$GG$96</definedName>
    <definedName name="value_233a_4">SAP10_Results!$GH$96</definedName>
    <definedName name="value_233a_5">SAP10_Results!$GI$96</definedName>
    <definedName name="value_233a_6">SAP10_Results!$GJ$96</definedName>
    <definedName name="value_233a_7">SAP10_Results!$GK$96</definedName>
    <definedName name="value_233a_8">SAP10_Results!$GL$96</definedName>
    <definedName name="value_233a_9">SAP10_Results!$GM$96</definedName>
    <definedName name="value_233b">SAP10_Results!$GQ$111</definedName>
    <definedName name="value_233b_1">SAP10_Results!$GE$110</definedName>
    <definedName name="value_233b_10">SAP10_Results!$GN$110</definedName>
    <definedName name="value_233b_11">SAP10_Results!$GO$110</definedName>
    <definedName name="value_233b_12">SAP10_Results!$GP$110</definedName>
    <definedName name="value_233b_2">SAP10_Results!$GF$110</definedName>
    <definedName name="value_233b_3">SAP10_Results!$GG$110</definedName>
    <definedName name="value_233b_4">SAP10_Results!$GH$110</definedName>
    <definedName name="value_233b_5">SAP10_Results!$GI$110</definedName>
    <definedName name="value_233b_6">SAP10_Results!$GJ$110</definedName>
    <definedName name="value_233b_7">SAP10_Results!$GK$110</definedName>
    <definedName name="value_233b_8">SAP10_Results!$GL$110</definedName>
    <definedName name="value_233b_9">SAP10_Results!$GM$110</definedName>
    <definedName name="value_234a">SAP10_Results!$GQ$100</definedName>
    <definedName name="value_234a_1">SAP10_Results!$GE$99</definedName>
    <definedName name="value_234a_10">SAP10_Results!$GN$99</definedName>
    <definedName name="value_234a_11">SAP10_Results!$GO$99</definedName>
    <definedName name="value_234a_12">SAP10_Results!$GP$99</definedName>
    <definedName name="value_234a_2">SAP10_Results!$GF$99</definedName>
    <definedName name="value_234a_3">SAP10_Results!$GG$99</definedName>
    <definedName name="value_234a_4">SAP10_Results!$GH$99</definedName>
    <definedName name="value_234a_5">SAP10_Results!$GI$99</definedName>
    <definedName name="value_234a_6">SAP10_Results!$GJ$99</definedName>
    <definedName name="value_234a_7">SAP10_Results!$GK$99</definedName>
    <definedName name="value_234a_8">SAP10_Results!$GL$99</definedName>
    <definedName name="value_234a_9">SAP10_Results!$GM$99</definedName>
    <definedName name="value_234b">SAP10_Results!$GQ$114</definedName>
    <definedName name="value_234b_1">SAP10_Results!$GE$113</definedName>
    <definedName name="value_234b_10">SAP10_Results!$GN$113</definedName>
    <definedName name="value_234b_11">SAP10_Results!$GO$113</definedName>
    <definedName name="value_234b_12">SAP10_Results!$GP$113</definedName>
    <definedName name="value_234b_2">SAP10_Results!$GF$113</definedName>
    <definedName name="value_234b_3">SAP10_Results!$GG$113</definedName>
    <definedName name="value_234b_4">SAP10_Results!$GH$113</definedName>
    <definedName name="value_234b_5">SAP10_Results!$GI$113</definedName>
    <definedName name="value_234b_6">SAP10_Results!$GJ$113</definedName>
    <definedName name="value_234b_7">SAP10_Results!$GK$113</definedName>
    <definedName name="value_234b_8">SAP10_Results!$GL$113</definedName>
    <definedName name="value_234b_9">SAP10_Results!$GM$113</definedName>
    <definedName name="value_235a">SAP10_Results!$GQ$103</definedName>
    <definedName name="value_235a_1">SAP10_Results!$GE$102</definedName>
    <definedName name="value_235a_10">SAP10_Results!$GN$102</definedName>
    <definedName name="value_235a_11">SAP10_Results!$GO$102</definedName>
    <definedName name="value_235a_12">SAP10_Results!$GP$102</definedName>
    <definedName name="value_235a_2">SAP10_Results!$GF$102</definedName>
    <definedName name="value_235a_3">SAP10_Results!$GG$102</definedName>
    <definedName name="value_235a_4">SAP10_Results!$GH$102</definedName>
    <definedName name="value_235a_5">SAP10_Results!$GI$102</definedName>
    <definedName name="value_235a_6">SAP10_Results!$GJ$102</definedName>
    <definedName name="value_235a_7">SAP10_Results!$GK$102</definedName>
    <definedName name="value_235a_8">SAP10_Results!$GL$102</definedName>
    <definedName name="value_235a_9">SAP10_Results!$GM$102</definedName>
    <definedName name="value_235b">SAP10_Results!$GQ$117</definedName>
    <definedName name="value_235b_1">SAP10_Results!$GE$116</definedName>
    <definedName name="value_235b_10">SAP10_Results!$GN$116</definedName>
    <definedName name="value_235b_11">SAP10_Results!$GO$116</definedName>
    <definedName name="value_235b_12">SAP10_Results!$GP$116</definedName>
    <definedName name="value_235b_2">SAP10_Results!$GF$116</definedName>
    <definedName name="value_235b_3">SAP10_Results!$GG$116</definedName>
    <definedName name="value_235b_4">SAP10_Results!$GH$116</definedName>
    <definedName name="value_235b_5">SAP10_Results!$GI$116</definedName>
    <definedName name="value_235b_6">SAP10_Results!$GJ$116</definedName>
    <definedName name="value_235b_7">SAP10_Results!$GK$116</definedName>
    <definedName name="value_235b_8">SAP10_Results!$GL$116</definedName>
    <definedName name="value_235b_9">SAP10_Results!$GM$116</definedName>
    <definedName name="value_235c">SAP10_Results!$GQ$106</definedName>
    <definedName name="value_235c_1">SAP10_Results!$GE$105</definedName>
    <definedName name="value_235c_10">SAP10_Results!$GN$105</definedName>
    <definedName name="value_235c_11">SAP10_Results!$GO$105</definedName>
    <definedName name="value_235c_12">SAP10_Results!$GP$105</definedName>
    <definedName name="value_235c_2">SAP10_Results!$GF$105</definedName>
    <definedName name="value_235c_3">SAP10_Results!$GG$105</definedName>
    <definedName name="value_235c_4">SAP10_Results!$GH$105</definedName>
    <definedName name="value_235c_5">SAP10_Results!$GI$105</definedName>
    <definedName name="value_235c_6">SAP10_Results!$GJ$105</definedName>
    <definedName name="value_235c_7">SAP10_Results!$GK$105</definedName>
    <definedName name="value_235c_8">SAP10_Results!$GL$105</definedName>
    <definedName name="value_235c_9">SAP10_Results!$GM$105</definedName>
    <definedName name="value_235d">SAP10_Results!$GQ$120</definedName>
    <definedName name="value_235d_1">SAP10_Results!$GE$119</definedName>
    <definedName name="value_235d_10">SAP10_Results!$GN$119</definedName>
    <definedName name="value_235d_11">SAP10_Results!$GO$119</definedName>
    <definedName name="value_235d_12">SAP10_Results!$GP$119</definedName>
    <definedName name="value_235d_2">SAP10_Results!$GF$119</definedName>
    <definedName name="value_235d_3">SAP10_Results!$GG$119</definedName>
    <definedName name="value_235d_4">SAP10_Results!$GH$119</definedName>
    <definedName name="value_235d_5">SAP10_Results!$GI$119</definedName>
    <definedName name="value_235d_6">SAP10_Results!$GJ$119</definedName>
    <definedName name="value_235d_7">SAP10_Results!$GK$119</definedName>
    <definedName name="value_235d_8">SAP10_Results!$GL$119</definedName>
    <definedName name="value_235d_9">SAP10_Results!$GM$119</definedName>
    <definedName name="value_238">SAP10_Results!$GQ$131</definedName>
    <definedName name="value_23a">SAP10_Results!$AP$21</definedName>
    <definedName name="value_23b">SAP10_Results!$AP$22</definedName>
    <definedName name="value_23c">SAP10_Results!$AP$23</definedName>
    <definedName name="value_240a">SAP10_Results!$HB$11</definedName>
    <definedName name="value_240b">SAP10_Results!$HB$12</definedName>
    <definedName name="value_240c">SAP10_Results!$HB$13</definedName>
    <definedName name="value_240d">SAP10_Results!$HB$14</definedName>
    <definedName name="value_240e">SAP10_Results!$HB$15</definedName>
    <definedName name="value_241a">SAP10_Results!$HB$18</definedName>
    <definedName name="value_241b">SAP10_Results!$HB$19</definedName>
    <definedName name="value_241c">SAP10_Results!$HB$20</definedName>
    <definedName name="value_241d">SAP10_Results!$HB$21</definedName>
    <definedName name="value_241e">SAP10_Results!$HB$22</definedName>
    <definedName name="value_242a">SAP10_Results!$HB$25</definedName>
    <definedName name="value_242b">SAP10_Results!$HB$26</definedName>
    <definedName name="value_242c">SAP10_Results!$HB$27</definedName>
    <definedName name="value_242d">SAP10_Results!$HB$28</definedName>
    <definedName name="value_242e">SAP10_Results!$HB$29</definedName>
    <definedName name="value_243">SAP10_Results!$HB$32</definedName>
    <definedName name="value_244">SAP10_Results!$HB$33</definedName>
    <definedName name="value_245">SAP10_Results!$HB$34</definedName>
    <definedName name="value_246">SAP10_Results!$HB$35</definedName>
    <definedName name="value_247">SAP10_Results!$HB$36</definedName>
    <definedName name="value_247a">SAP10_Results!$HB$39</definedName>
    <definedName name="value_248">SAP10_Results!$HB$40</definedName>
    <definedName name="value_249">SAP10_Results!$HB$41</definedName>
    <definedName name="value_24a_1">SAP10_Results!$AD$26</definedName>
    <definedName name="value_24a_10">SAP10_Results!$AM$26</definedName>
    <definedName name="value_24a_11">SAP10_Results!$AN$26</definedName>
    <definedName name="value_24a_12">SAP10_Results!$AO$26</definedName>
    <definedName name="value_24a_2">SAP10_Results!$AE$26</definedName>
    <definedName name="value_24a_3">SAP10_Results!$AF$26</definedName>
    <definedName name="value_24a_4">SAP10_Results!$AG$26</definedName>
    <definedName name="value_24a_5">SAP10_Results!$AH$26</definedName>
    <definedName name="value_24a_6">SAP10_Results!$AI$26</definedName>
    <definedName name="value_24a_7">SAP10_Results!$AJ$26</definedName>
    <definedName name="value_24a_8">SAP10_Results!$AK$26</definedName>
    <definedName name="value_24a_9">SAP10_Results!$AL$26</definedName>
    <definedName name="value_24b_1">SAP10_Results!$AD$28</definedName>
    <definedName name="value_24b_10">SAP10_Results!$AM$28</definedName>
    <definedName name="value_24b_11">SAP10_Results!$AN$28</definedName>
    <definedName name="value_24b_12">SAP10_Results!$AO$28</definedName>
    <definedName name="value_24b_2">SAP10_Results!$AE$28</definedName>
    <definedName name="value_24b_3">SAP10_Results!$AF$28</definedName>
    <definedName name="value_24b_4">SAP10_Results!$AG$28</definedName>
    <definedName name="value_24b_5">SAP10_Results!$AH$28</definedName>
    <definedName name="value_24b_6">SAP10_Results!$AI$28</definedName>
    <definedName name="value_24b_7">SAP10_Results!$AJ$28</definedName>
    <definedName name="value_24b_8">SAP10_Results!$AK$28</definedName>
    <definedName name="value_24b_9">SAP10_Results!$AL$28</definedName>
    <definedName name="value_24c_1">SAP10_Results!$AD$31</definedName>
    <definedName name="value_24c_10">SAP10_Results!$AM$31</definedName>
    <definedName name="value_24c_11">SAP10_Results!$AN$31</definedName>
    <definedName name="value_24c_12">SAP10_Results!$AO$31</definedName>
    <definedName name="value_24c_2">SAP10_Results!$AE$31</definedName>
    <definedName name="value_24c_3">SAP10_Results!$AF$31</definedName>
    <definedName name="value_24c_4">SAP10_Results!$AG$31</definedName>
    <definedName name="value_24c_5">SAP10_Results!$AH$31</definedName>
    <definedName name="value_24c_6">SAP10_Results!$AI$31</definedName>
    <definedName name="value_24c_7">SAP10_Results!$AJ$31</definedName>
    <definedName name="value_24c_8">SAP10_Results!$AK$31</definedName>
    <definedName name="value_24c_9">SAP10_Results!$AL$31</definedName>
    <definedName name="value_24d_1">SAP10_Results!$AD$34</definedName>
    <definedName name="value_24d_10">SAP10_Results!$AM$34</definedName>
    <definedName name="value_24d_11">SAP10_Results!$AN$34</definedName>
    <definedName name="value_24d_12">SAP10_Results!$AO$34</definedName>
    <definedName name="value_24d_2">SAP10_Results!$AE$34</definedName>
    <definedName name="value_24d_3">SAP10_Results!$AF$34</definedName>
    <definedName name="value_24d_4">SAP10_Results!$AG$34</definedName>
    <definedName name="value_24d_5">SAP10_Results!$AH$34</definedName>
    <definedName name="value_24d_6">SAP10_Results!$AI$34</definedName>
    <definedName name="value_24d_7">SAP10_Results!$AJ$34</definedName>
    <definedName name="value_24d_8">SAP10_Results!$AK$34</definedName>
    <definedName name="value_24d_9">SAP10_Results!$AL$34</definedName>
    <definedName name="value_25_1">SAP10_Results!$AD$36</definedName>
    <definedName name="value_25_10">SAP10_Results!$AM$36</definedName>
    <definedName name="value_25_11">SAP10_Results!$AN$36</definedName>
    <definedName name="value_25_12">SAP10_Results!$AO$36</definedName>
    <definedName name="value_25_2">SAP10_Results!$AE$36</definedName>
    <definedName name="value_25_3">SAP10_Results!$AF$36</definedName>
    <definedName name="value_25_4">SAP10_Results!$AG$36</definedName>
    <definedName name="value_25_5">SAP10_Results!$AH$36</definedName>
    <definedName name="value_25_6">SAP10_Results!$AI$36</definedName>
    <definedName name="value_25_7">SAP10_Results!$AJ$36</definedName>
    <definedName name="value_25_8">SAP10_Results!$AK$36</definedName>
    <definedName name="value_25_9">SAP10_Results!$AL$36</definedName>
    <definedName name="value_250">SAP10_Results!$HB$43</definedName>
    <definedName name="value_251">SAP10_Results!$HB$44</definedName>
    <definedName name="value_252">SAP10_Results!$HB$46</definedName>
    <definedName name="value_253">SAP10_Results!$HB$48</definedName>
    <definedName name="value_254">SAP10_Results!$HB$49</definedName>
    <definedName name="value_255">SAP10_Results!$HB$51</definedName>
    <definedName name="value_256">SAP10_Results!$HH$8</definedName>
    <definedName name="value_257">SAP10_Results!$HH$10</definedName>
    <definedName name="value_258">SAP10_Results!$HH$12</definedName>
    <definedName name="value_26_net_area">SAP10_Results!$AZ$12</definedName>
    <definedName name="value_26_u_value_description">SAP10_Results!$BB$12</definedName>
    <definedName name="value_26_UA">SAP10_Results!$BD$12</definedName>
    <definedName name="value_261">SAP10_Results!$HQ$10</definedName>
    <definedName name="value_262">SAP10_Results!$HQ$12</definedName>
    <definedName name="value_263">SAP10_Results!$HQ$14</definedName>
    <definedName name="value_264">SAP10_Results!$HQ$16</definedName>
    <definedName name="value_264a">SAP10_Results!$HQ$19</definedName>
    <definedName name="value_265">SAP10_Results!$HQ$21</definedName>
    <definedName name="value_266">SAP10_Results!$HQ$23</definedName>
    <definedName name="value_267">SAP10_Results!$HQ$25</definedName>
    <definedName name="value_268">SAP10_Results!$HQ$27</definedName>
    <definedName name="value_269">SAP10_Results!$HQ$30</definedName>
    <definedName name="value_26a_net_area">SAP10_Results!$AZ$13</definedName>
    <definedName name="value_26a_u_value_description">SAP10_Results!$BB$13</definedName>
    <definedName name="value_26a_UA">SAP10_Results!$BD$13</definedName>
    <definedName name="value_27_net_area">SAP10_Results!$AZ$14</definedName>
    <definedName name="value_27_u_value_description">SAP10_Results!$BB$14</definedName>
    <definedName name="value_27_UA">SAP10_Results!$BD$14</definedName>
    <definedName name="value_270">SAP10_Results!$HQ$33</definedName>
    <definedName name="value_271">SAP10_Results!$HQ$34</definedName>
    <definedName name="value_272">SAP10_Results!$HQ$37</definedName>
    <definedName name="value_273">SAP10_Results!$HQ$39</definedName>
    <definedName name="value_274">SAP10_Results!$HQ$41</definedName>
    <definedName name="value_275">SAP10_Results!$HZ$10</definedName>
    <definedName name="value_276">SAP10_Results!$HZ$12</definedName>
    <definedName name="value_277">SAP10_Results!$HZ$14</definedName>
    <definedName name="value_278">SAP10_Results!$HZ$16</definedName>
    <definedName name="value_278a">SAP10_Results!$HZ$19</definedName>
    <definedName name="value_279">SAP10_Results!$HZ$21</definedName>
    <definedName name="value_27a_net_area">SAP10_Results!$AZ$15</definedName>
    <definedName name="value_27a_u_value_description">SAP10_Results!$BB$15</definedName>
    <definedName name="value_27a_UA">SAP10_Results!$BD$15</definedName>
    <definedName name="value_28_Ak">SAP10_Results!$BH$16</definedName>
    <definedName name="value_28_k_value_description">SAP10_Results!$BF$16</definedName>
    <definedName name="value_28_net_area">SAP10_Results!$AZ$16</definedName>
    <definedName name="value_28_u_value_description">SAP10_Results!$BB$16</definedName>
    <definedName name="value_28_UA">SAP10_Results!$BD$16</definedName>
    <definedName name="value_28_Uk">SAP10_Results!$BH$16</definedName>
    <definedName name="value_280">SAP10_Results!$HZ$23</definedName>
    <definedName name="value_281">SAP10_Results!$HZ$25</definedName>
    <definedName name="value_282">SAP10_Results!$HZ$27</definedName>
    <definedName name="value_283">SAP10_Results!$HZ$30</definedName>
    <definedName name="value_284">SAP10_Results!$HZ$33</definedName>
    <definedName name="value_285">SAP10_Results!$HZ$34</definedName>
    <definedName name="value_286">SAP10_Results!$HZ$36</definedName>
    <definedName name="value_287">SAP10_Results!$HZ$38</definedName>
    <definedName name="value_28a_Ak">SAP10_Results!$BH$17</definedName>
    <definedName name="value_28a_k_value_description">SAP10_Results!$BF$17</definedName>
    <definedName name="value_28a_net_area">SAP10_Results!$AZ$17</definedName>
    <definedName name="value_28a_u_value_description">SAP10_Results!$BB$17</definedName>
    <definedName name="value_28a_UA">SAP10_Results!$BD$17</definedName>
    <definedName name="value_28b_Ak">SAP10_Results!$BH$18</definedName>
    <definedName name="value_28b_k_value_description">SAP10_Results!$BF$18</definedName>
    <definedName name="value_28b_net_area">SAP10_Results!$AZ$18</definedName>
    <definedName name="value_28b_u_value_description">SAP10_Results!$BB$18</definedName>
    <definedName name="value_28b_UA">SAP10_Results!$BD$18</definedName>
    <definedName name="value_29_Ak">SAP10_Results!$BH$19</definedName>
    <definedName name="value_29_gross_area">SAP10_Results!$AV$19</definedName>
    <definedName name="value_29_k_value_description">SAP10_Results!$BF$19</definedName>
    <definedName name="value_29_net_area">SAP10_Results!$AZ$19</definedName>
    <definedName name="value_29_openings_area">SAP10_Results!$AX$19</definedName>
    <definedName name="value_29_u_value_description">SAP10_Results!$BB$19</definedName>
    <definedName name="value_29_UA">SAP10_Results!$BD$19</definedName>
    <definedName name="value_29a">SAP10_Results!$AZ$20</definedName>
    <definedName name="value_29a_Ak">SAP10_Results!$BH$20</definedName>
    <definedName name="value_29a_gross_area">SAP10_Results!$AV$20</definedName>
    <definedName name="value_29a_k_value_description">SAP10_Results!$BF$20</definedName>
    <definedName name="value_29a_net_area">SAP10_Results!$AZ$20</definedName>
    <definedName name="value_29a_openings_area">SAP10_Results!$AX$20</definedName>
    <definedName name="value_29a_u_value_description">SAP10_Results!$BB$20</definedName>
    <definedName name="value_29a_UA">SAP10_Results!$BD$20</definedName>
    <definedName name="value_3_level_0">SAP10_Results!$K$11</definedName>
    <definedName name="value_3_level_1">SAP10_Results!$K$12</definedName>
    <definedName name="value_3_level_2">SAP10_Results!$K$13</definedName>
    <definedName name="value_3_level_3">SAP10_Results!$K$14</definedName>
    <definedName name="value_3_level_minus_1">SAP10_Results!$K$10</definedName>
    <definedName name="value_3_level_other">SAP10_Results!$K$15</definedName>
    <definedName name="value_30_Ak">SAP10_Results!$BH$21</definedName>
    <definedName name="value_30_gross_area">SAP10_Results!$AV$21</definedName>
    <definedName name="value_30_k_value_description">SAP10_Results!$BF$21</definedName>
    <definedName name="value_30_net_area">SAP10_Results!$AZ$21</definedName>
    <definedName name="value_30_openings_area">SAP10_Results!$AX$21</definedName>
    <definedName name="value_30_u_value_description">SAP10_Results!$BB$21</definedName>
    <definedName name="value_30_UA">SAP10_Results!$BD$21</definedName>
    <definedName name="value_31">SAP10_Results!$AZ$22</definedName>
    <definedName name="value_32_Ak">SAP10_Results!$BH$23</definedName>
    <definedName name="value_32_k_value_description">SAP10_Results!$BF$23</definedName>
    <definedName name="value_32_net_area">SAP10_Results!$AZ$23</definedName>
    <definedName name="value_32_u_value_description">SAP10_Results!$BB$23</definedName>
    <definedName name="value_32_UA">SAP10_Results!$BD$23</definedName>
    <definedName name="value_32a_Ak">SAP10_Results!$BH$24</definedName>
    <definedName name="value_32a_k_value_description">SAP10_Results!$BF$24</definedName>
    <definedName name="value_32a_net_area">SAP10_Results!$AZ$24</definedName>
    <definedName name="value_32b_Ak">SAP10_Results!$BH$25</definedName>
    <definedName name="value_32b_k_value_description">SAP10_Results!$BF$25</definedName>
    <definedName name="value_32b_net_area">SAP10_Results!$AZ$25</definedName>
    <definedName name="value_32c_Ak">SAP10_Results!$BH$26</definedName>
    <definedName name="value_32c_k_value_description">SAP10_Results!$BF$26</definedName>
    <definedName name="value_32c_net_area">SAP10_Results!$AZ$26</definedName>
    <definedName name="value_32d_Ak">SAP10_Results!$BH$27</definedName>
    <definedName name="value_32d_k_value_description">SAP10_Results!$BF$27</definedName>
    <definedName name="value_32d_net_area">SAP10_Results!$AZ$27</definedName>
    <definedName name="value_32e_Ak">SAP10_Results!$BH$28</definedName>
    <definedName name="value_32e_k_value_description">SAP10_Results!$BF$28</definedName>
    <definedName name="value_32e_net_area">SAP10_Results!$AZ$28</definedName>
    <definedName name="value_33">SAP10_Results!$BH$31</definedName>
    <definedName name="value_34">SAP10_Results!$BH$32</definedName>
    <definedName name="value_35">SAP10_Results!$BH$33</definedName>
    <definedName name="value_36">SAP10_Results!$BH$37</definedName>
    <definedName name="value_36a">SAP10_Results!$BH$39</definedName>
    <definedName name="value_37">SAP10_Results!$BH$40</definedName>
    <definedName name="value_38_1">SAP10_Results!$BL$10</definedName>
    <definedName name="value_38_10">SAP10_Results!$BU$10</definedName>
    <definedName name="value_38_11">SAP10_Results!$BV$10</definedName>
    <definedName name="value_38_12">SAP10_Results!$BW$10</definedName>
    <definedName name="value_38_2">SAP10_Results!$BM$10</definedName>
    <definedName name="value_38_3">SAP10_Results!$BN$10</definedName>
    <definedName name="value_38_4">SAP10_Results!$BO$10</definedName>
    <definedName name="value_38_5">SAP10_Results!$BP$10</definedName>
    <definedName name="value_38_6">SAP10_Results!$BQ$10</definedName>
    <definedName name="value_38_7">SAP10_Results!$BR$10</definedName>
    <definedName name="value_38_8">SAP10_Results!$BS$10</definedName>
    <definedName name="value_38_9">SAP10_Results!$BT$10</definedName>
    <definedName name="value_39">SAP10_Results!$BX$13</definedName>
    <definedName name="value_39_1">SAP10_Results!$BL$12</definedName>
    <definedName name="value_39_10">SAP10_Results!$BU$12</definedName>
    <definedName name="value_39_11">SAP10_Results!$BV$12</definedName>
    <definedName name="value_39_12">SAP10_Results!$BW$12</definedName>
    <definedName name="value_39_2">SAP10_Results!$BM$12</definedName>
    <definedName name="value_39_3">SAP10_Results!$BN$12</definedName>
    <definedName name="value_39_4">SAP10_Results!$BO$12</definedName>
    <definedName name="value_39_5">SAP10_Results!$BP$12</definedName>
    <definedName name="value_39_6">SAP10_Results!$BQ$12</definedName>
    <definedName name="value_39_7">SAP10_Results!$BR$12</definedName>
    <definedName name="value_39_8">SAP10_Results!$BS$12</definedName>
    <definedName name="value_39_9">SAP10_Results!$BT$12</definedName>
    <definedName name="value_4">SAP10_Results!$E$16</definedName>
    <definedName name="value_40">SAP10_Results!$BX$16</definedName>
    <definedName name="value_40_1">SAP10_Results!$BL$15</definedName>
    <definedName name="value_40_10">SAP10_Results!$BU$15</definedName>
    <definedName name="value_40_11">SAP10_Results!$BV$15</definedName>
    <definedName name="value_40_12">SAP10_Results!$BW$15</definedName>
    <definedName name="value_40_2">SAP10_Results!$BM$15</definedName>
    <definedName name="value_40_3">SAP10_Results!$BN$15</definedName>
    <definedName name="value_40_4">SAP10_Results!$BO$15</definedName>
    <definedName name="value_40_5">SAP10_Results!$BP$15</definedName>
    <definedName name="value_40_6">SAP10_Results!$BQ$15</definedName>
    <definedName name="value_40_7">SAP10_Results!$BR$15</definedName>
    <definedName name="value_40_8">SAP10_Results!$BS$15</definedName>
    <definedName name="value_40_9">SAP10_Results!$BT$15</definedName>
    <definedName name="value_41_1">SAP10_Results!$BL$19</definedName>
    <definedName name="value_41_10">SAP10_Results!$BU$19</definedName>
    <definedName name="value_41_11">SAP10_Results!$BV$19</definedName>
    <definedName name="value_41_12">SAP10_Results!$BW$19</definedName>
    <definedName name="value_41_2">SAP10_Results!$BM$19</definedName>
    <definedName name="value_41_3">SAP10_Results!$BN$19</definedName>
    <definedName name="value_41_4">SAP10_Results!$BO$19</definedName>
    <definedName name="value_41_5">SAP10_Results!$BP$19</definedName>
    <definedName name="value_41_6">SAP10_Results!$BQ$19</definedName>
    <definedName name="value_41_7">SAP10_Results!$BR$19</definedName>
    <definedName name="value_41_8">SAP10_Results!$BS$19</definedName>
    <definedName name="value_41_9">SAP10_Results!$BT$19</definedName>
    <definedName name="value_42">SAP10_Results!$CP$8</definedName>
    <definedName name="value_42a_1">SAP10_Results!$CD$13</definedName>
    <definedName name="value_42a_10">SAP10_Results!$CM$13</definedName>
    <definedName name="value_42a_11">SAP10_Results!$CN$13</definedName>
    <definedName name="value_42a_12">SAP10_Results!$CO$13</definedName>
    <definedName name="value_42a_2">SAP10_Results!$CE$13</definedName>
    <definedName name="value_42a_3">SAP10_Results!$CF$13</definedName>
    <definedName name="value_42a_4">SAP10_Results!$CG$13</definedName>
    <definedName name="value_42a_5">SAP10_Results!$CH$13</definedName>
    <definedName name="value_42a_6">SAP10_Results!$CI$13</definedName>
    <definedName name="value_42a_7">SAP10_Results!$CJ$13</definedName>
    <definedName name="value_42a_8">SAP10_Results!$CK$13</definedName>
    <definedName name="value_42a_9">SAP10_Results!$CL$13</definedName>
    <definedName name="value_42b_1">SAP10_Results!$CD$16</definedName>
    <definedName name="value_42b_10">SAP10_Results!$CM$16</definedName>
    <definedName name="value_42b_11">SAP10_Results!$CN$16</definedName>
    <definedName name="value_42b_12">SAP10_Results!$CO$16</definedName>
    <definedName name="value_42b_2">SAP10_Results!$CE$16</definedName>
    <definedName name="value_42b_3">SAP10_Results!$CF$16</definedName>
    <definedName name="value_42b_4">SAP10_Results!$CG$16</definedName>
    <definedName name="value_42b_5">SAP10_Results!$CH$16</definedName>
    <definedName name="value_42b_6">SAP10_Results!$CI$16</definedName>
    <definedName name="value_42b_7">SAP10_Results!$CJ$16</definedName>
    <definedName name="value_42b_8">SAP10_Results!$CK$16</definedName>
    <definedName name="value_42b_9">SAP10_Results!$CL$16</definedName>
    <definedName name="value_42c_1">SAP10_Results!$CD$19</definedName>
    <definedName name="value_42c_10">SAP10_Results!$CM$19</definedName>
    <definedName name="value_42c_11">SAP10_Results!$CN$19</definedName>
    <definedName name="value_42c_12">SAP10_Results!$CO$19</definedName>
    <definedName name="value_42c_2">SAP10_Results!$CE$19</definedName>
    <definedName name="value_42c_3">SAP10_Results!$CF$19</definedName>
    <definedName name="value_42c_4">SAP10_Results!$CG$19</definedName>
    <definedName name="value_42c_5">SAP10_Results!$CH$19</definedName>
    <definedName name="value_42c_6">SAP10_Results!$CI$19</definedName>
    <definedName name="value_42c_7">SAP10_Results!$CJ$19</definedName>
    <definedName name="value_42c_8">SAP10_Results!$CK$19</definedName>
    <definedName name="value_42c_9">SAP10_Results!$CL$19</definedName>
    <definedName name="value_43">SAP10_Results!$CP$21</definedName>
    <definedName name="value_44_1">SAP10_Results!$CD$24</definedName>
    <definedName name="value_44_10">SAP10_Results!$CM$24</definedName>
    <definedName name="value_44_11">SAP10_Results!$CN$24</definedName>
    <definedName name="value_44_12">SAP10_Results!$CO$24</definedName>
    <definedName name="value_44_2">SAP10_Results!$CE$24</definedName>
    <definedName name="value_44_3">SAP10_Results!$CF$24</definedName>
    <definedName name="value_44_4">SAP10_Results!$CG$24</definedName>
    <definedName name="value_44_5">SAP10_Results!$CH$24</definedName>
    <definedName name="value_44_6">SAP10_Results!$CI$24</definedName>
    <definedName name="value_44_7">SAP10_Results!$CJ$24</definedName>
    <definedName name="value_44_8">SAP10_Results!$CK$24</definedName>
    <definedName name="value_44_9">SAP10_Results!$CL$24</definedName>
    <definedName name="value_45">SAP10_Results!$CP$28</definedName>
    <definedName name="value_45_1">SAP10_Results!$CD$27</definedName>
    <definedName name="value_45_10">SAP10_Results!$CM$27</definedName>
    <definedName name="value_45_11">SAP10_Results!$CN$27</definedName>
    <definedName name="value_45_12">SAP10_Results!$CO$27</definedName>
    <definedName name="value_45_2">SAP10_Results!$CE$27</definedName>
    <definedName name="value_45_3">SAP10_Results!$CF$27</definedName>
    <definedName name="value_45_4">SAP10_Results!$CG$27</definedName>
    <definedName name="value_45_5">SAP10_Results!$CH$27</definedName>
    <definedName name="value_45_6">SAP10_Results!$CI$27</definedName>
    <definedName name="value_45_7">SAP10_Results!$CJ$27</definedName>
    <definedName name="value_45_8">SAP10_Results!$CK$27</definedName>
    <definedName name="value_45_9">SAP10_Results!$CL$27</definedName>
    <definedName name="value_46_1">SAP10_Results!$CD$32</definedName>
    <definedName name="value_46_10">SAP10_Results!$CM$32</definedName>
    <definedName name="value_46_11">SAP10_Results!$CN$32</definedName>
    <definedName name="value_46_12">SAP10_Results!$CO$32</definedName>
    <definedName name="value_46_2">SAP10_Results!$CE$32</definedName>
    <definedName name="value_46_3">SAP10_Results!$CF$32</definedName>
    <definedName name="value_46_4">SAP10_Results!$CG$32</definedName>
    <definedName name="value_46_5">SAP10_Results!$CH$32</definedName>
    <definedName name="value_46_6">SAP10_Results!$CI$32</definedName>
    <definedName name="value_46_7">SAP10_Results!$CJ$32</definedName>
    <definedName name="value_46_8">SAP10_Results!$CK$32</definedName>
    <definedName name="value_46_9">SAP10_Results!$CL$32</definedName>
    <definedName name="value_47">SAP10_Results!$CP$34</definedName>
    <definedName name="value_48">SAP10_Results!$CP$39</definedName>
    <definedName name="value_49">SAP10_Results!$CP$40</definedName>
    <definedName name="value_5">SAP10_Results!$K$17</definedName>
    <definedName name="value_50">SAP10_Results!$CP$41</definedName>
    <definedName name="value_51">SAP10_Results!$CP$43</definedName>
    <definedName name="value_52">SAP10_Results!$CP$45</definedName>
    <definedName name="value_53">SAP10_Results!$CP$46</definedName>
    <definedName name="value_54">SAP10_Results!$CP$47</definedName>
    <definedName name="value_55">SAP10_Results!$CP$48</definedName>
    <definedName name="value_56_1">SAP10_Results!$CD$51</definedName>
    <definedName name="value_56_10">SAP10_Results!$CM$51</definedName>
    <definedName name="value_56_11">SAP10_Results!$CN$51</definedName>
    <definedName name="value_56_12">SAP10_Results!$CO$51</definedName>
    <definedName name="value_56_2">SAP10_Results!$CE$51</definedName>
    <definedName name="value_56_3">SAP10_Results!$CF$51</definedName>
    <definedName name="value_56_4">SAP10_Results!$CG$51</definedName>
    <definedName name="value_56_5">SAP10_Results!$CH$51</definedName>
    <definedName name="value_56_6">SAP10_Results!$CI$51</definedName>
    <definedName name="value_56_7">SAP10_Results!$CJ$51</definedName>
    <definedName name="value_56_8">SAP10_Results!$CK$51</definedName>
    <definedName name="value_56_9">SAP10_Results!$CL$51</definedName>
    <definedName name="value_57_1">SAP10_Results!$CD$56</definedName>
    <definedName name="value_57_10">SAP10_Results!$CM$56</definedName>
    <definedName name="value_57_11">SAP10_Results!$CN$56</definedName>
    <definedName name="value_57_12">SAP10_Results!$CO$56</definedName>
    <definedName name="value_57_2">SAP10_Results!$CE$56</definedName>
    <definedName name="value_57_3">SAP10_Results!$CF$56</definedName>
    <definedName name="value_57_4">SAP10_Results!$CG$56</definedName>
    <definedName name="value_57_5">SAP10_Results!$CH$56</definedName>
    <definedName name="value_57_6">SAP10_Results!$CI$56</definedName>
    <definedName name="value_57_7">SAP10_Results!$CJ$56</definedName>
    <definedName name="value_57_8">SAP10_Results!$CK$56</definedName>
    <definedName name="value_57_9">SAP10_Results!$CL$56</definedName>
    <definedName name="value_59_1">SAP10_Results!$CD$61</definedName>
    <definedName name="value_59_10">SAP10_Results!$CM$61</definedName>
    <definedName name="value_59_11">SAP10_Results!$CN$61</definedName>
    <definedName name="value_59_12">SAP10_Results!$CO$61</definedName>
    <definedName name="value_59_2">SAP10_Results!$CE$61</definedName>
    <definedName name="value_59_3">SAP10_Results!$CF$61</definedName>
    <definedName name="value_59_4">SAP10_Results!$CG$61</definedName>
    <definedName name="value_59_5">SAP10_Results!$CH$61</definedName>
    <definedName name="value_59_6">SAP10_Results!$CI$61</definedName>
    <definedName name="value_59_7">SAP10_Results!$CJ$61</definedName>
    <definedName name="value_59_8">SAP10_Results!$CK$61</definedName>
    <definedName name="value_59_9">SAP10_Results!$CL$61</definedName>
    <definedName name="value_61_1">SAP10_Results!$CD$64</definedName>
    <definedName name="value_61_10">SAP10_Results!$CM$64</definedName>
    <definedName name="value_61_11">SAP10_Results!$CN$64</definedName>
    <definedName name="value_61_12">SAP10_Results!$CO$64</definedName>
    <definedName name="value_61_2">SAP10_Results!$CE$64</definedName>
    <definedName name="value_61_3">SAP10_Results!$CF$64</definedName>
    <definedName name="value_61_4">SAP10_Results!$CG$64</definedName>
    <definedName name="value_61_5">SAP10_Results!$CH$64</definedName>
    <definedName name="value_61_6">SAP10_Results!$CI$64</definedName>
    <definedName name="value_61_7">SAP10_Results!$CJ$64</definedName>
    <definedName name="value_61_8">SAP10_Results!$CK$64</definedName>
    <definedName name="value_61_9">SAP10_Results!$CL$64</definedName>
    <definedName name="value_62_1">SAP10_Results!$CD$66</definedName>
    <definedName name="value_62_10">SAP10_Results!$CM$66</definedName>
    <definedName name="value_62_11">SAP10_Results!$CN$66</definedName>
    <definedName name="value_62_12">SAP10_Results!$CO$66</definedName>
    <definedName name="value_62_2">SAP10_Results!$CE$66</definedName>
    <definedName name="value_62_3">SAP10_Results!$CF$66</definedName>
    <definedName name="value_62_4">SAP10_Results!$CG$66</definedName>
    <definedName name="value_62_5">SAP10_Results!$CH$66</definedName>
    <definedName name="value_62_6">SAP10_Results!$CI$66</definedName>
    <definedName name="value_62_7">SAP10_Results!$CJ$66</definedName>
    <definedName name="value_62_8">SAP10_Results!$CK$66</definedName>
    <definedName name="value_62_9">SAP10_Results!$CL$66</definedName>
    <definedName name="value_63a_1">SAP10_Results!$CD$68</definedName>
    <definedName name="value_63a_10">SAP10_Results!$CM$68</definedName>
    <definedName name="value_63a_11">SAP10_Results!$CN$68</definedName>
    <definedName name="value_63a_12">SAP10_Results!$CO$68</definedName>
    <definedName name="value_63a_2">SAP10_Results!$CE$68</definedName>
    <definedName name="value_63a_3">SAP10_Results!$CF$68</definedName>
    <definedName name="value_63a_4">SAP10_Results!$CG$68</definedName>
    <definedName name="value_63a_5">SAP10_Results!$CH$68</definedName>
    <definedName name="value_63a_6">SAP10_Results!$CI$68</definedName>
    <definedName name="value_63a_7">SAP10_Results!$CJ$68</definedName>
    <definedName name="value_63a_8">SAP10_Results!$CK$68</definedName>
    <definedName name="value_63a_9">SAP10_Results!$CL$68</definedName>
    <definedName name="value_63b_1">SAP10_Results!$CD$70</definedName>
    <definedName name="value_63b_10">SAP10_Results!$CM$70</definedName>
    <definedName name="value_63b_11">SAP10_Results!$CN$70</definedName>
    <definedName name="value_63b_12">SAP10_Results!$CO$70</definedName>
    <definedName name="value_63b_2">SAP10_Results!$CE$70</definedName>
    <definedName name="value_63b_3">SAP10_Results!$CF$70</definedName>
    <definedName name="value_63b_4">SAP10_Results!$CG$70</definedName>
    <definedName name="value_63b_5">SAP10_Results!$CH$70</definedName>
    <definedName name="value_63b_6">SAP10_Results!$CI$70</definedName>
    <definedName name="value_63b_7">SAP10_Results!$CJ$70</definedName>
    <definedName name="value_63b_8">SAP10_Results!$CK$70</definedName>
    <definedName name="value_63b_9">SAP10_Results!$CL$70</definedName>
    <definedName name="value_63c_1">SAP10_Results!$CD$72</definedName>
    <definedName name="value_63c_10">SAP10_Results!$CM$72</definedName>
    <definedName name="value_63c_11">SAP10_Results!$CN$72</definedName>
    <definedName name="value_63c_12">SAP10_Results!$CO$72</definedName>
    <definedName name="value_63c_2">SAP10_Results!$CE$72</definedName>
    <definedName name="value_63c_3">SAP10_Results!$CF$72</definedName>
    <definedName name="value_63c_4">SAP10_Results!$CG$72</definedName>
    <definedName name="value_63c_5">SAP10_Results!$CH$72</definedName>
    <definedName name="value_63c_6">SAP10_Results!$CI$72</definedName>
    <definedName name="value_63c_7">SAP10_Results!$CJ$72</definedName>
    <definedName name="value_63c_8">SAP10_Results!$CK$72</definedName>
    <definedName name="value_63c_9">SAP10_Results!$CL$72</definedName>
    <definedName name="value_63d_1">SAP10_Results!$CD$74</definedName>
    <definedName name="value_63d_10">SAP10_Results!$CM$74</definedName>
    <definedName name="value_63d_11">SAP10_Results!$CN$74</definedName>
    <definedName name="value_63d_12">SAP10_Results!$CO$74</definedName>
    <definedName name="value_63d_2">SAP10_Results!$CE$74</definedName>
    <definedName name="value_63d_3">SAP10_Results!$CF$74</definedName>
    <definedName name="value_63d_4">SAP10_Results!$CG$74</definedName>
    <definedName name="value_63d_5">SAP10_Results!$CH$74</definedName>
    <definedName name="value_63d_6">SAP10_Results!$CI$74</definedName>
    <definedName name="value_63d_7">SAP10_Results!$CJ$74</definedName>
    <definedName name="value_63d_8">SAP10_Results!$CK$74</definedName>
    <definedName name="value_63d_9">SAP10_Results!$CL$74</definedName>
    <definedName name="value_64">SAP10_Results!$CP$77</definedName>
    <definedName name="value_64_1">SAP10_Results!$CD$76</definedName>
    <definedName name="value_64_10">SAP10_Results!$CM$76</definedName>
    <definedName name="value_64_11">SAP10_Results!$CN$76</definedName>
    <definedName name="value_64_12">SAP10_Results!$CO$76</definedName>
    <definedName name="value_64_2">SAP10_Results!$CE$76</definedName>
    <definedName name="value_64_3">SAP10_Results!$CF$76</definedName>
    <definedName name="value_64_4">SAP10_Results!$CG$76</definedName>
    <definedName name="value_64_5">SAP10_Results!$CH$76</definedName>
    <definedName name="value_64_6">SAP10_Results!$CI$76</definedName>
    <definedName name="value_64_7">SAP10_Results!$CJ$76</definedName>
    <definedName name="value_64_8">SAP10_Results!$CK$76</definedName>
    <definedName name="value_64_9">SAP10_Results!$CL$76</definedName>
    <definedName name="value_64a">SAP10_Results!$CP$81</definedName>
    <definedName name="value_64a_1">SAP10_Results!$CD$80</definedName>
    <definedName name="value_64a_10">SAP10_Results!$CM$80</definedName>
    <definedName name="value_64a_11">SAP10_Results!$CN$80</definedName>
    <definedName name="value_64a_12">SAP10_Results!$CO$80</definedName>
    <definedName name="value_64a_2">SAP10_Results!$CE$80</definedName>
    <definedName name="value_64a_3">SAP10_Results!$CF$80</definedName>
    <definedName name="value_64a_4">SAP10_Results!$CG$80</definedName>
    <definedName name="value_64a_5">SAP10_Results!$CH$80</definedName>
    <definedName name="value_64a_6">SAP10_Results!$CI$80</definedName>
    <definedName name="value_64a_7">SAP10_Results!$CJ$80</definedName>
    <definedName name="value_64a_8">SAP10_Results!$CK$80</definedName>
    <definedName name="value_64a_9">SAP10_Results!$CL$80</definedName>
    <definedName name="value_65_1">SAP10_Results!$CD$83</definedName>
    <definedName name="value_65_10">SAP10_Results!$CM$83</definedName>
    <definedName name="value_65_11">SAP10_Results!$CN$83</definedName>
    <definedName name="value_65_12">SAP10_Results!$CO$83</definedName>
    <definedName name="value_65_2">SAP10_Results!$CE$83</definedName>
    <definedName name="value_65_3">SAP10_Results!$CF$83</definedName>
    <definedName name="value_65_4">SAP10_Results!$CG$83</definedName>
    <definedName name="value_65_5">SAP10_Results!$CH$83</definedName>
    <definedName name="value_65_6">SAP10_Results!$CI$83</definedName>
    <definedName name="value_65_7">SAP10_Results!$CJ$83</definedName>
    <definedName name="value_65_8">SAP10_Results!$CK$83</definedName>
    <definedName name="value_65_9">SAP10_Results!$CL$83</definedName>
    <definedName name="value_66_1">SAP10_Results!$CU$10</definedName>
    <definedName name="value_66_10">SAP10_Results!$DD$10</definedName>
    <definedName name="value_66_11">SAP10_Results!$DE$10</definedName>
    <definedName name="value_66_12">SAP10_Results!$DF$10</definedName>
    <definedName name="value_66_2">SAP10_Results!$CV$10</definedName>
    <definedName name="value_66_3">SAP10_Results!$CW$10</definedName>
    <definedName name="value_66_4">SAP10_Results!$CX$10</definedName>
    <definedName name="value_66_5">SAP10_Results!$CY$10</definedName>
    <definedName name="value_66_6">SAP10_Results!$CZ$10</definedName>
    <definedName name="value_66_7">SAP10_Results!$DA$10</definedName>
    <definedName name="value_66_8">SAP10_Results!$DB$10</definedName>
    <definedName name="value_66_9">SAP10_Results!$DC$10</definedName>
    <definedName name="value_67_1">SAP10_Results!$CU$12</definedName>
    <definedName name="value_67_10">SAP10_Results!$DD$12</definedName>
    <definedName name="value_67_11">SAP10_Results!$DE$12</definedName>
    <definedName name="value_67_12">SAP10_Results!$DF$12</definedName>
    <definedName name="value_67_2">SAP10_Results!$CV$12</definedName>
    <definedName name="value_67_3">SAP10_Results!$CW$12</definedName>
    <definedName name="value_67_4">SAP10_Results!$CX$12</definedName>
    <definedName name="value_67_5">SAP10_Results!$CY$12</definedName>
    <definedName name="value_67_6">SAP10_Results!$CZ$12</definedName>
    <definedName name="value_67_7">SAP10_Results!$DA$12</definedName>
    <definedName name="value_67_8">SAP10_Results!$DB$12</definedName>
    <definedName name="value_67_9">SAP10_Results!$DC$12</definedName>
    <definedName name="value_68_1">SAP10_Results!$CU$14</definedName>
    <definedName name="value_68_10">SAP10_Results!$DD$14</definedName>
    <definedName name="value_68_11">SAP10_Results!$DE$14</definedName>
    <definedName name="value_68_12">SAP10_Results!$DF$14</definedName>
    <definedName name="value_68_2">SAP10_Results!$CV$14</definedName>
    <definedName name="value_68_3">SAP10_Results!$CW$14</definedName>
    <definedName name="value_68_4">SAP10_Results!$CX$14</definedName>
    <definedName name="value_68_5">SAP10_Results!$CY$14</definedName>
    <definedName name="value_68_6">SAP10_Results!$CZ$14</definedName>
    <definedName name="value_68_7">SAP10_Results!$DA$14</definedName>
    <definedName name="value_68_8">SAP10_Results!$DB$14</definedName>
    <definedName name="value_68_9">SAP10_Results!$DC$14</definedName>
    <definedName name="value_69_1">SAP10_Results!$CU$16</definedName>
    <definedName name="value_69_10">SAP10_Results!$DD$16</definedName>
    <definedName name="value_69_11">SAP10_Results!$DE$16</definedName>
    <definedName name="value_69_12">SAP10_Results!$DF$16</definedName>
    <definedName name="value_69_2">SAP10_Results!$CV$16</definedName>
    <definedName name="value_69_3">SAP10_Results!$CW$16</definedName>
    <definedName name="value_69_4">SAP10_Results!$CX$16</definedName>
    <definedName name="value_69_5">SAP10_Results!$CY$16</definedName>
    <definedName name="value_69_6">SAP10_Results!$CZ$16</definedName>
    <definedName name="value_69_7">SAP10_Results!$DA$16</definedName>
    <definedName name="value_69_8">SAP10_Results!$DB$16</definedName>
    <definedName name="value_69_9">SAP10_Results!$DC$16</definedName>
    <definedName name="value_6a">SAP10_Results!$Y$11</definedName>
    <definedName name="value_6a_total">SAP10_Results!$W$11</definedName>
    <definedName name="value_6b">SAP10_Results!$Y$12</definedName>
    <definedName name="value_6b_total">SAP10_Results!$W$12</definedName>
    <definedName name="value_6c">SAP10_Results!$Y$13</definedName>
    <definedName name="value_6c_total">SAP10_Results!$W$13</definedName>
    <definedName name="value_6d">SAP10_Results!$Y$14</definedName>
    <definedName name="value_6d_total">SAP10_Results!$W$14</definedName>
    <definedName name="value_6e">SAP10_Results!$Y$15</definedName>
    <definedName name="value_6e_total">SAP10_Results!$W$15</definedName>
    <definedName name="value_6f">SAP10_Results!$Y$16</definedName>
    <definedName name="value_6f_total">SAP10_Results!$W$16</definedName>
    <definedName name="value_70_1">SAP10_Results!$CU$18</definedName>
    <definedName name="value_70_10">SAP10_Results!$DD$18</definedName>
    <definedName name="value_70_11">SAP10_Results!$DE$18</definedName>
    <definedName name="value_70_12">SAP10_Results!$DF$18</definedName>
    <definedName name="value_70_2">SAP10_Results!$CV$18</definedName>
    <definedName name="value_70_3">SAP10_Results!$CW$18</definedName>
    <definedName name="value_70_4">SAP10_Results!$CX$18</definedName>
    <definedName name="value_70_5">SAP10_Results!$CY$18</definedName>
    <definedName name="value_70_6">SAP10_Results!$CZ$18</definedName>
    <definedName name="value_70_7">SAP10_Results!$DA$18</definedName>
    <definedName name="value_70_8">SAP10_Results!$DB$18</definedName>
    <definedName name="value_70_9">SAP10_Results!$DC$18</definedName>
    <definedName name="value_71_1">SAP10_Results!$CU$20</definedName>
    <definedName name="value_71_10">SAP10_Results!$DD$20</definedName>
    <definedName name="value_71_11">SAP10_Results!$DE$20</definedName>
    <definedName name="value_71_12">SAP10_Results!$DF$20</definedName>
    <definedName name="value_71_2">SAP10_Results!$CV$20</definedName>
    <definedName name="value_71_3">SAP10_Results!$CW$20</definedName>
    <definedName name="value_71_4">SAP10_Results!$CX$20</definedName>
    <definedName name="value_71_5">SAP10_Results!$CY$20</definedName>
    <definedName name="value_71_6">SAP10_Results!$CZ$20</definedName>
    <definedName name="value_71_7">SAP10_Results!$DA$20</definedName>
    <definedName name="value_71_8">SAP10_Results!$DB$20</definedName>
    <definedName name="value_71_9">SAP10_Results!$DC$20</definedName>
    <definedName name="value_72_1">SAP10_Results!$CU$22</definedName>
    <definedName name="value_72_10">SAP10_Results!$DD$22</definedName>
    <definedName name="value_72_11">SAP10_Results!$DE$22</definedName>
    <definedName name="value_72_12">SAP10_Results!$DF$22</definedName>
    <definedName name="value_72_2">SAP10_Results!$CV$22</definedName>
    <definedName name="value_72_3">SAP10_Results!$CW$22</definedName>
    <definedName name="value_72_4">SAP10_Results!$CX$22</definedName>
    <definedName name="value_72_5">SAP10_Results!$CY$22</definedName>
    <definedName name="value_72_6">SAP10_Results!$CZ$22</definedName>
    <definedName name="value_72_7">SAP10_Results!$DA$22</definedName>
    <definedName name="value_72_8">SAP10_Results!$DB$22</definedName>
    <definedName name="value_72_9">SAP10_Results!$DC$22</definedName>
    <definedName name="value_73_1">SAP10_Results!$CU$24</definedName>
    <definedName name="value_73_10">SAP10_Results!$DD$24</definedName>
    <definedName name="value_73_11">SAP10_Results!$DE$24</definedName>
    <definedName name="value_73_12">SAP10_Results!$DF$24</definedName>
    <definedName name="value_73_2">SAP10_Results!$CV$24</definedName>
    <definedName name="value_73_3">SAP10_Results!$CW$24</definedName>
    <definedName name="value_73_4">SAP10_Results!$CX$24</definedName>
    <definedName name="value_73_5">SAP10_Results!$CY$24</definedName>
    <definedName name="value_73_6">SAP10_Results!$CZ$24</definedName>
    <definedName name="value_73_7">SAP10_Results!$DA$24</definedName>
    <definedName name="value_73_8">SAP10_Results!$DB$24</definedName>
    <definedName name="value_73_9">SAP10_Results!$DC$24</definedName>
    <definedName name="value_74">SAP10_Results!$DU$15</definedName>
    <definedName name="value_74_access_factor">SAP10_Results!$DK$15</definedName>
    <definedName name="value_74_area">SAP10_Results!$DM$15</definedName>
    <definedName name="value_74_frame_factor">SAP10_Results!$DS$15</definedName>
    <definedName name="value_74_solar_flux">SAP10_Results!$DO$15</definedName>
    <definedName name="value_74_solar_transmittance">SAP10_Results!$DQ$15</definedName>
    <definedName name="value_75">SAP10_Results!$DU$16</definedName>
    <definedName name="value_75__solar_transmittance">SAP10_Results!$DQ$16</definedName>
    <definedName name="value_75_access_factor">SAP10_Results!$DK$16</definedName>
    <definedName name="value_75_area">SAP10_Results!$DM$16</definedName>
    <definedName name="value_75_frame_factor">SAP10_Results!$DS$16</definedName>
    <definedName name="value_75_solar_flux">SAP10_Results!$DO$16</definedName>
    <definedName name="value_76">SAP10_Results!$DU$17</definedName>
    <definedName name="value_76_access_factor">SAP10_Results!$DK$17</definedName>
    <definedName name="value_76_area">SAP10_Results!$DM$17</definedName>
    <definedName name="value_76_frame_factor">SAP10_Results!$DS$17</definedName>
    <definedName name="value_76_solar_flux">SAP10_Results!$DO$17</definedName>
    <definedName name="value_76_solar_transmittance">SAP10_Results!$DQ$17</definedName>
    <definedName name="value_77">SAP10_Results!$DU$18</definedName>
    <definedName name="value_77_access_factor">SAP10_Results!$DK$18</definedName>
    <definedName name="value_77_area">SAP10_Results!$DM$18</definedName>
    <definedName name="value_77_frame_factor">SAP10_Results!$DS$18</definedName>
    <definedName name="value_77_solar_flux">SAP10_Results!$DO$18</definedName>
    <definedName name="value_77_solar_transmittance">SAP10_Results!$DQ$18</definedName>
    <definedName name="value_78">SAP10_Results!$DU$19</definedName>
    <definedName name="value_78_access_factor">SAP10_Results!$DK$19</definedName>
    <definedName name="value_78_area">SAP10_Results!$DM$19</definedName>
    <definedName name="value_78_frame_factor">SAP10_Results!$DS$19</definedName>
    <definedName name="value_78_solar_flux">SAP10_Results!$DO$19</definedName>
    <definedName name="value_78_solar_transmittance">SAP10_Results!$DQ$19</definedName>
    <definedName name="value_79">SAP10_Results!$DU$20</definedName>
    <definedName name="value_79_access_factor">SAP10_Results!$DK$20</definedName>
    <definedName name="value_79_area">SAP10_Results!$DM$20</definedName>
    <definedName name="value_79_frame_factor">SAP10_Results!$DS$20</definedName>
    <definedName name="value_79_solar_flux">SAP10_Results!$DO$20</definedName>
    <definedName name="value_79_solar_transmittance">SAP10_Results!$DQ$20</definedName>
    <definedName name="value_7a">SAP10_Results!$Y$17</definedName>
    <definedName name="value_7a_total">SAP10_Results!$W$17</definedName>
    <definedName name="value_7b">SAP10_Results!$Y$18</definedName>
    <definedName name="value_7b_total">SAP10_Results!$W$18</definedName>
    <definedName name="value_7c">SAP10_Results!$Y$19</definedName>
    <definedName name="value_7c_total">SAP10_Results!$W$19</definedName>
    <definedName name="value_8">SAP10_Results!$Y$21</definedName>
    <definedName name="value_80">SAP10_Results!$DU$21</definedName>
    <definedName name="value_80_access_factor">SAP10_Results!$DK$21</definedName>
    <definedName name="value_80_area">SAP10_Results!$DM$21</definedName>
    <definedName name="value_80_frame_factor">SAP10_Results!$DS$21</definedName>
    <definedName name="value_80_solar_flux">SAP10_Results!$DO$21</definedName>
    <definedName name="value_80_solar_transmittance">SAP10_Results!$DQ$21</definedName>
    <definedName name="value_81">SAP10_Results!$DU$22</definedName>
    <definedName name="value_81_access_factor">SAP10_Results!$DK$22</definedName>
    <definedName name="value_81_area">SAP10_Results!$DM$22</definedName>
    <definedName name="value_81_frame_factor">SAP10_Results!$DS$22</definedName>
    <definedName name="value_81_solar_flux">SAP10_Results!$DO$22</definedName>
    <definedName name="value_81_solar_transmittance">SAP10_Results!$DQ$22</definedName>
    <definedName name="value_82">SAP10_Results!$DU$23</definedName>
    <definedName name="value_82_area">SAP10_Results!$DM$23</definedName>
    <definedName name="value_82_frame_factor">SAP10_Results!$DS$23</definedName>
    <definedName name="value_82_solar_flux">SAP10_Results!$DO$23</definedName>
    <definedName name="value_82_solar_transmittance">SAP10_Results!$DQ$23</definedName>
    <definedName name="value_82a">SAP10_Results!$DU$24</definedName>
    <definedName name="value_82a_area">SAP10_Results!$DM$24</definedName>
    <definedName name="value_82a_frame_factor">SAP10_Results!$DS$24</definedName>
    <definedName name="value_82a_solar_flux">SAP10_Results!$DO$24</definedName>
    <definedName name="value_82a_solar_transmittance">SAP10_Results!$DQ$24</definedName>
    <definedName name="value_83_1">SAP10_Results!$DK$27</definedName>
    <definedName name="value_83_10">SAP10_Results!$DT$27</definedName>
    <definedName name="value_83_11">SAP10_Results!$DU$27</definedName>
    <definedName name="value_83_12">SAP10_Results!$DV$27</definedName>
    <definedName name="value_83_2">SAP10_Results!$DL$27</definedName>
    <definedName name="value_83_3">SAP10_Results!$DM$27</definedName>
    <definedName name="value_83_4">SAP10_Results!$DN$27</definedName>
    <definedName name="value_83_5">SAP10_Results!$DO$27</definedName>
    <definedName name="value_83_6">SAP10_Results!$DP$27</definedName>
    <definedName name="value_83_7">SAP10_Results!$DQ$27</definedName>
    <definedName name="value_83_8">SAP10_Results!$DR$27</definedName>
    <definedName name="value_83_9">SAP10_Results!$DS$27</definedName>
    <definedName name="value_83_area">SAP10_Results!$DM$24</definedName>
    <definedName name="value_84_1">SAP10_Results!$DK$29</definedName>
    <definedName name="value_84_10">SAP10_Results!$DT$29</definedName>
    <definedName name="value_84_11">SAP10_Results!$DU$29</definedName>
    <definedName name="value_84_12">SAP10_Results!$DV$29</definedName>
    <definedName name="value_84_2">SAP10_Results!$DL$29</definedName>
    <definedName name="value_84_3">SAP10_Results!$DM$29</definedName>
    <definedName name="value_84_4">SAP10_Results!$DN$29</definedName>
    <definedName name="value_84_5">SAP10_Results!$DO$29</definedName>
    <definedName name="value_84_6">SAP10_Results!$DP$29</definedName>
    <definedName name="value_84_7">SAP10_Results!$DQ$29</definedName>
    <definedName name="value_84_8">SAP10_Results!$DR$29</definedName>
    <definedName name="value_84_9">SAP10_Results!$DS$29</definedName>
    <definedName name="value_85">SAP10_Results!$EM$8</definedName>
    <definedName name="value_86_1">SAP10_Results!$EA$11</definedName>
    <definedName name="value_86_10">SAP10_Results!$EJ$11</definedName>
    <definedName name="value_86_11">SAP10_Results!$EK$11</definedName>
    <definedName name="value_86_12">SAP10_Results!$EL$11</definedName>
    <definedName name="value_86_2">SAP10_Results!$EB$11</definedName>
    <definedName name="value_86_3">SAP10_Results!$EC$11</definedName>
    <definedName name="value_86_4">SAP10_Results!$ED$11</definedName>
    <definedName name="value_86_5">SAP10_Results!$EE$11</definedName>
    <definedName name="value_86_6">SAP10_Results!$EF$11</definedName>
    <definedName name="value_86_7">SAP10_Results!$EG$11</definedName>
    <definedName name="value_86_8">SAP10_Results!$EH$11</definedName>
    <definedName name="value_86_9">SAP10_Results!$EI$11</definedName>
    <definedName name="value_87_1">SAP10_Results!$EA$14</definedName>
    <definedName name="value_87_10">SAP10_Results!$EJ$14</definedName>
    <definedName name="value_87_11">SAP10_Results!$EK$14</definedName>
    <definedName name="value_87_12">SAP10_Results!$EL$14</definedName>
    <definedName name="value_87_2">SAP10_Results!$EB$14</definedName>
    <definedName name="value_87_3">SAP10_Results!$EC$14</definedName>
    <definedName name="value_87_4">SAP10_Results!$ED$14</definedName>
    <definedName name="value_87_5">SAP10_Results!$EE$14</definedName>
    <definedName name="value_87_6">SAP10_Results!$EF$14</definedName>
    <definedName name="value_87_7">SAP10_Results!$EG$14</definedName>
    <definedName name="value_87_8">SAP10_Results!$EH$14</definedName>
    <definedName name="value_87_9">SAP10_Results!$EI$14</definedName>
    <definedName name="value_88_1">SAP10_Results!$EA$16</definedName>
    <definedName name="value_88_10">SAP10_Results!$EJ$16</definedName>
    <definedName name="value_88_11">SAP10_Results!$EK$16</definedName>
    <definedName name="value_88_12">SAP10_Results!$EL$16</definedName>
    <definedName name="value_88_2">SAP10_Results!$EB$16</definedName>
    <definedName name="value_88_3">SAP10_Results!$EC$16</definedName>
    <definedName name="value_88_4">SAP10_Results!$ED$16</definedName>
    <definedName name="value_88_5">SAP10_Results!$EE$16</definedName>
    <definedName name="value_88_6">SAP10_Results!$EF$16</definedName>
    <definedName name="value_88_7">SAP10_Results!$EG$16</definedName>
    <definedName name="value_88_8">SAP10_Results!$EH$16</definedName>
    <definedName name="value_88_9">SAP10_Results!$EI$16</definedName>
    <definedName name="value_89_1">SAP10_Results!$EA$18</definedName>
    <definedName name="value_89_10">SAP10_Results!$EJ$18</definedName>
    <definedName name="value_89_11">SAP10_Results!$EK$18</definedName>
    <definedName name="value_89_12">SAP10_Results!$EL$18</definedName>
    <definedName name="value_89_2">SAP10_Results!$EB$18</definedName>
    <definedName name="value_89_3">SAP10_Results!$EC$18</definedName>
    <definedName name="value_89_4">SAP10_Results!$ED$18</definedName>
    <definedName name="value_89_5">SAP10_Results!$EE$18</definedName>
    <definedName name="value_89_6">SAP10_Results!$EF$18</definedName>
    <definedName name="value_89_7">SAP10_Results!$EG$18</definedName>
    <definedName name="value_89_8">SAP10_Results!$EH$18</definedName>
    <definedName name="value_89_9">SAP10_Results!$EI$18</definedName>
    <definedName name="value_9">SAP10_Results!$Y$24</definedName>
    <definedName name="value_90_1">SAP10_Results!$EA$21</definedName>
    <definedName name="value_90_10">SAP10_Results!$EJ$21</definedName>
    <definedName name="value_90_11">SAP10_Results!$EK$21</definedName>
    <definedName name="value_90_12">SAP10_Results!$EL$21</definedName>
    <definedName name="value_90_2">SAP10_Results!$EB$21</definedName>
    <definedName name="value_90_3">SAP10_Results!$EC$21</definedName>
    <definedName name="value_90_4">SAP10_Results!$ED$21</definedName>
    <definedName name="value_90_5">SAP10_Results!$EE$21</definedName>
    <definedName name="value_90_6">SAP10_Results!$EF$21</definedName>
    <definedName name="value_90_7">SAP10_Results!$EG$21</definedName>
    <definedName name="value_90_8">SAP10_Results!$EH$21</definedName>
    <definedName name="value_90_9">SAP10_Results!$EI$21</definedName>
    <definedName name="value_91">SAP10_Results!$EM$22</definedName>
    <definedName name="value_92_1">SAP10_Results!$EA$24</definedName>
    <definedName name="value_92_10">SAP10_Results!$EJ$24</definedName>
    <definedName name="value_92_11">SAP10_Results!$EK$24</definedName>
    <definedName name="value_92_12">SAP10_Results!$EL$24</definedName>
    <definedName name="value_92_2">SAP10_Results!$EB$24</definedName>
    <definedName name="value_92_3">SAP10_Results!$EC$24</definedName>
    <definedName name="value_92_4">SAP10_Results!$ED$24</definedName>
    <definedName name="value_92_5">SAP10_Results!$EE$24</definedName>
    <definedName name="value_92_6">SAP10_Results!$EF$24</definedName>
    <definedName name="value_92_7">SAP10_Results!$EG$24</definedName>
    <definedName name="value_92_8">SAP10_Results!$EH$24</definedName>
    <definedName name="value_92_9">SAP10_Results!$EI$24</definedName>
    <definedName name="value_93_1">SAP10_Results!$EA$27</definedName>
    <definedName name="value_93_10">SAP10_Results!$EJ$27</definedName>
    <definedName name="value_93_11">SAP10_Results!$EK$27</definedName>
    <definedName name="value_93_12">SAP10_Results!$EL$27</definedName>
    <definedName name="value_93_2">SAP10_Results!$EB$27</definedName>
    <definedName name="value_93_3">SAP10_Results!$EC$27</definedName>
    <definedName name="value_93_4">SAP10_Results!$ED$27</definedName>
    <definedName name="value_93_5">SAP10_Results!$EE$27</definedName>
    <definedName name="value_93_6">SAP10_Results!$EF$27</definedName>
    <definedName name="value_93_7">SAP10_Results!$EG$27</definedName>
    <definedName name="value_93_8">SAP10_Results!$EH$27</definedName>
    <definedName name="value_93_9">SAP10_Results!$EI$27</definedName>
    <definedName name="value_94_1">SAP10_Results!$ER$12</definedName>
    <definedName name="value_94_10">SAP10_Results!$FA$12</definedName>
    <definedName name="value_94_11">SAP10_Results!$FB$12</definedName>
    <definedName name="value_94_12">SAP10_Results!$FC$12</definedName>
    <definedName name="value_94_2">SAP10_Results!$ES$12</definedName>
    <definedName name="value_94_3">SAP10_Results!$ET$12</definedName>
    <definedName name="value_94_4">SAP10_Results!$EU$12</definedName>
    <definedName name="value_94_5">SAP10_Results!$EV$12</definedName>
    <definedName name="value_94_6">SAP10_Results!$EW$12</definedName>
    <definedName name="value_94_7">SAP10_Results!$EX$12</definedName>
    <definedName name="value_94_8">SAP10_Results!$EY$12</definedName>
    <definedName name="value_94_9">SAP10_Results!$EZ$12</definedName>
    <definedName name="value_95_1">SAP10_Results!$ER$14</definedName>
    <definedName name="value_95_10">SAP10_Results!$FA$14</definedName>
    <definedName name="value_95_11">SAP10_Results!$FB$14</definedName>
    <definedName name="value_95_12">SAP10_Results!$FC$14</definedName>
    <definedName name="value_95_2">SAP10_Results!$ES$14</definedName>
    <definedName name="value_95_3">SAP10_Results!$ET$14</definedName>
    <definedName name="value_95_4">SAP10_Results!$EU$14</definedName>
    <definedName name="value_95_5">SAP10_Results!$EV$14</definedName>
    <definedName name="value_95_6">SAP10_Results!$EW$14</definedName>
    <definedName name="value_95_7">SAP10_Results!$EX$14</definedName>
    <definedName name="value_95_8">SAP10_Results!$EY$14</definedName>
    <definedName name="value_95_9">SAP10_Results!$EZ$14</definedName>
    <definedName name="value_96_1">SAP10_Results!$ER$16</definedName>
    <definedName name="value_96_10">SAP10_Results!$FA$16</definedName>
    <definedName name="value_96_11">SAP10_Results!$FB$16</definedName>
    <definedName name="value_96_12">SAP10_Results!$FC$16</definedName>
    <definedName name="value_96_2">SAP10_Results!$ES$16</definedName>
    <definedName name="value_96_3">SAP10_Results!$ET$16</definedName>
    <definedName name="value_96_4">SAP10_Results!$EU$16</definedName>
    <definedName name="value_96_5">SAP10_Results!$EV$16</definedName>
    <definedName name="value_96_6">SAP10_Results!$EW$16</definedName>
    <definedName name="value_96_7">SAP10_Results!$EX$16</definedName>
    <definedName name="value_96_8">SAP10_Results!$EY$16</definedName>
    <definedName name="value_96_9">SAP10_Results!$EZ$16</definedName>
    <definedName name="value_97_1">SAP10_Results!$ER$18</definedName>
    <definedName name="value_97_10">SAP10_Results!$FA$18</definedName>
    <definedName name="value_97_11">SAP10_Results!$FB$18</definedName>
    <definedName name="value_97_12">SAP10_Results!$FC$18</definedName>
    <definedName name="value_97_2">SAP10_Results!$ES$18</definedName>
    <definedName name="value_97_3">SAP10_Results!$ET$18</definedName>
    <definedName name="value_97_4">SAP10_Results!$EU$18</definedName>
    <definedName name="value_97_5">SAP10_Results!$EV$18</definedName>
    <definedName name="value_97_6">SAP10_Results!$EW$18</definedName>
    <definedName name="value_97_7">SAP10_Results!$EX$18</definedName>
    <definedName name="value_97_8">SAP10_Results!$EY$18</definedName>
    <definedName name="value_97_9">SAP10_Results!$EZ$18</definedName>
    <definedName name="value_98a">SAP10_Results!$FD$21</definedName>
    <definedName name="value_98a_1">SAP10_Results!$ER$20</definedName>
    <definedName name="value_98a_10">SAP10_Results!$FA$20</definedName>
    <definedName name="value_98a_11">SAP10_Results!$FB$20</definedName>
    <definedName name="value_98a_12">SAP10_Results!$FC$20</definedName>
    <definedName name="value_98a_2">SAP10_Results!$ES$20</definedName>
    <definedName name="value_98a_3">SAP10_Results!$ET$20</definedName>
    <definedName name="value_98a_4">SAP10_Results!$EU$20</definedName>
    <definedName name="value_98a_5">SAP10_Results!$EV$20</definedName>
    <definedName name="value_98a_6">SAP10_Results!$EW$20</definedName>
    <definedName name="value_98a_7">SAP10_Results!$EX$20</definedName>
    <definedName name="value_98a_8">SAP10_Results!$EY$20</definedName>
    <definedName name="value_98a_9">SAP10_Results!$EZ$20</definedName>
    <definedName name="value_98b">SAP10_Results!$FD$24</definedName>
    <definedName name="value_98b_1">SAP10_Results!$ER$23</definedName>
    <definedName name="value_98b_10">SAP10_Results!$FA$23</definedName>
    <definedName name="value_98b_11">SAP10_Results!$FB$23</definedName>
    <definedName name="value_98b_12">SAP10_Results!$FC$23</definedName>
    <definedName name="value_98b_2">SAP10_Results!$ES$23</definedName>
    <definedName name="value_98b_3">SAP10_Results!$ET$23</definedName>
    <definedName name="value_98b_4">SAP10_Results!$EU$23</definedName>
    <definedName name="value_98b_5">SAP10_Results!$EV$23</definedName>
    <definedName name="value_98b_6">SAP10_Results!$EW$23</definedName>
    <definedName name="value_98b_7">SAP10_Results!$EX$23</definedName>
    <definedName name="value_98b_8">SAP10_Results!$EY$23</definedName>
    <definedName name="value_98b_9">SAP10_Results!$EZ$23</definedName>
    <definedName name="value_98c">SAP10_Results!$FD$27</definedName>
    <definedName name="value_98c_1">SAP10_Results!$ER$26</definedName>
    <definedName name="value_98c_10">SAP10_Results!$FA$26</definedName>
    <definedName name="value_98c_11">SAP10_Results!$FB$26</definedName>
    <definedName name="value_98c_12">SAP10_Results!$FC$26</definedName>
    <definedName name="value_98c_2">SAP10_Results!$ES$26</definedName>
    <definedName name="value_98c_3">SAP10_Results!$ET$26</definedName>
    <definedName name="value_98c_4">SAP10_Results!$EU$26</definedName>
    <definedName name="value_98c_5">SAP10_Results!$EV$26</definedName>
    <definedName name="value_98c_6">SAP10_Results!$EW$26</definedName>
    <definedName name="value_98c_7">SAP10_Results!$EX$26</definedName>
    <definedName name="value_98c_8">SAP10_Results!$EY$26</definedName>
    <definedName name="value_98c_9">SAP10_Results!$EZ$26</definedName>
    <definedName name="value_99">SAP10_Results!$FD$29</definedName>
    <definedName name="variable_description_column">SAP10_Inputs!$Q:$Q</definedName>
    <definedName name="water_heating_emission_factor_description">SAP10_Results!$HO$16</definedName>
    <definedName name="water_heating_high_rate_fuel_price">SAP10_Results!$GZ$34</definedName>
    <definedName name="water_heating_low_rate_fuel_price">SAP10_Results!$GZ$35</definedName>
    <definedName name="water_heating_other_fuel_price">SAP10_Results!$GZ$36</definedName>
    <definedName name="XML_attributes_column">SAP10_Inputs!$M:$M</definedName>
    <definedName name="XML_header_row">SAP10_Inputs!$8:$8</definedName>
    <definedName name="XML_start_row">SAP10_Inputs!#REF!</definedName>
    <definedName name="XML_text_column">SAP10_Inputs!$N:$N</definedName>
    <definedName name="xml_tree_column">SAP10_Inputs!$B:$B</definedName>
    <definedName name="XML_xpath_column">SAP10_Inputs!$L:$L</definedName>
    <definedName name="XMLSchema______SAP_Compliance_Report" localSheetId="4">XMLSchema_Info!$2:$2</definedName>
    <definedName name="XMLSchema____SAP_Compliance_Report__Client_Address" localSheetId="4">XMLSchema_Info!$602:$602</definedName>
    <definedName name="XMLSchema____SAP_Compliance_Report__Client_Company" localSheetId="4">XMLSchema_Info!$601:$601</definedName>
    <definedName name="XMLSchema____SAP_Compliance_Report__Client_Name" localSheetId="4">XMLSchema_Info!$600:$600</definedName>
    <definedName name="XMLSchema____SAP_Compliance_Report__Is_Multiple_Compliance" localSheetId="4">XMLSchema_Info!$608:$608</definedName>
    <definedName name="XMLSchema____SAP_Compliance_Report__SAP_Report" localSheetId="4">XMLSchema_Info!$3:$3</definedName>
    <definedName name="XMLSchema__Air_Change_Rates__Air_Change_Rate__Air_Change_Rate_Month" localSheetId="4">XMLSchema_Info!$581:$581</definedName>
    <definedName name="XMLSchema__Air_Change_Rates__Air_Change_Rate__Air_Change_Rate_Value" localSheetId="4">XMLSchema_Info!$582:$582</definedName>
    <definedName name="XMLSchema__Alternative_Improvements__Improvement__Energy_Performance_Rating" localSheetId="4">XMLSchema_Info!$177:$177</definedName>
    <definedName name="XMLSchema__Alternative_Improvements__Improvement__Environmental_Impact_Rating" localSheetId="4">XMLSchema_Info!$178:$178</definedName>
    <definedName name="XMLSchema__Alternative_Improvements__Improvement__Green_Deal_Category" localSheetId="4">XMLSchema_Info!$186:$186</definedName>
    <definedName name="XMLSchema__Alternative_Improvements__Improvement__Improvement_Category" localSheetId="4">XMLSchema_Info!$174:$174</definedName>
    <definedName name="XMLSchema__Alternative_Improvements__Improvement__Improvement_Details" localSheetId="4">XMLSchema_Info!$179:$179</definedName>
    <definedName name="XMLSchema__Alternative_Improvements__Improvement__Improvement_Type" localSheetId="4">XMLSchema_Info!$175:$175</definedName>
    <definedName name="XMLSchema__Alternative_Improvements__Improvement__Indicative_Cost" localSheetId="4">XMLSchema_Info!$185:$185</definedName>
    <definedName name="XMLSchema__Alternative_Improvements__Improvement__Sequence" localSheetId="4">XMLSchema_Info!$173:$173</definedName>
    <definedName name="XMLSchema__Alternative_Improvements__Improvement__Typical_Saving" localSheetId="4">XMLSchema_Info!$176:$176</definedName>
    <definedName name="XMLSchema__Community_Heat_Sources__Community_Heat_Source__CHP_Electricity_Generation" localSheetId="4">XMLSchema_Info!$278:$278</definedName>
    <definedName name="XMLSchema__Community_Heat_Sources__Community_Heat_Source__Description" localSheetId="4">XMLSchema_Info!$277:$277</definedName>
    <definedName name="XMLSchema__Community_Heat_Sources__Community_Heat_Source__Fuel_Type" localSheetId="4">XMLSchema_Info!$273:$273</definedName>
    <definedName name="XMLSchema__Community_Heat_Sources__Community_Heat_Source__Heat_Efficiency" localSheetId="4">XMLSchema_Info!$275:$275</definedName>
    <definedName name="XMLSchema__Community_Heat_Sources__Community_Heat_Source__Heat_Fraction" localSheetId="4">XMLSchema_Info!$272:$272</definedName>
    <definedName name="XMLSchema__Community_Heat_Sources__Community_Heat_Source__Heat_Source_Type" localSheetId="4">XMLSchema_Info!$271:$271</definedName>
    <definedName name="XMLSchema__Community_Heat_Sources__Community_Heat_Source__PCDF_Fuel_Index" localSheetId="4">XMLSchema_Info!$274:$274</definedName>
    <definedName name="XMLSchema__Community_Heat_Sources__Community_Heat_Source__Power_Efficiency" localSheetId="4">XMLSchema_Info!$276:$276</definedName>
    <definedName name="XMLSchema__Energy_Assessment__Addendum__Access_Issues" localSheetId="4">XMLSchema_Info!$191:$191</definedName>
    <definedName name="XMLSchema__Energy_Assessment__Addendum__Cavity_Fill_Recommended" localSheetId="4">XMLSchema_Info!$188:$188</definedName>
    <definedName name="XMLSchema__Energy_Assessment__Addendum__High_Exposure" localSheetId="4">XMLSchema_Info!$192:$192</definedName>
    <definedName name="XMLSchema__Energy_Assessment__Addendum__Narrow_Cavities" localSheetId="4">XMLSchema_Info!$193:$193</definedName>
    <definedName name="XMLSchema__Energy_Assessment__Addendum__Stone_Walls" localSheetId="4">XMLSchema_Info!$189:$189</definedName>
    <definedName name="XMLSchema__Energy_Assessment__Addendum__System_Build" localSheetId="4">XMLSchema_Info!$190:$190</definedName>
    <definedName name="XMLSchema__Energy_Assessment__Alternative_Improvements__Improvement" localSheetId="4">XMLSchema_Info!$172:$172</definedName>
    <definedName name="XMLSchema__Energy_Assessment__Energy_Use__CO2_Emissions_Current" localSheetId="4">XMLSchema_Info!$124:$124</definedName>
    <definedName name="XMLSchema__Energy_Assessment__Energy_Use__CO2_Emissions_Current_Per_Floor_Area" localSheetId="4">XMLSchema_Info!$125:$125</definedName>
    <definedName name="XMLSchema__Energy_Assessment__Energy_Use__CO2_Emissions_Potential" localSheetId="4">XMLSchema_Info!$126:$126</definedName>
    <definedName name="XMLSchema__Energy_Assessment__Energy_Use__DER" localSheetId="4">XMLSchema_Info!$111:$111</definedName>
    <definedName name="XMLSchema__Energy_Assessment__Energy_Use__DFEE" localSheetId="4">XMLSchema_Info!$115:$115</definedName>
    <definedName name="XMLSchema__Energy_Assessment__Energy_Use__DPER" localSheetId="4">XMLSchema_Info!$113:$113</definedName>
    <definedName name="XMLSchema__Energy_Assessment__Energy_Use__Energy_Consumption_Current" localSheetId="4">XMLSchema_Info!$122:$122</definedName>
    <definedName name="XMLSchema__Energy_Assessment__Energy_Use__Energy_Consumption_Potential" localSheetId="4">XMLSchema_Info!$123:$123</definedName>
    <definedName name="XMLSchema__Energy_Assessment__Energy_Use__Energy_Rating_Average" localSheetId="4">XMLSchema_Info!$119:$119</definedName>
    <definedName name="XMLSchema__Energy_Assessment__Energy_Use__Energy_Rating_Current" localSheetId="4">XMLSchema_Info!$117:$117</definedName>
    <definedName name="XMLSchema__Energy_Assessment__Energy_Use__Energy_Rating_Potential" localSheetId="4">XMLSchema_Info!$118:$118</definedName>
    <definedName name="XMLSchema__Energy_Assessment__Energy_Use__Environmental_Impact_Current" localSheetId="4">XMLSchema_Info!$120:$120</definedName>
    <definedName name="XMLSchema__Energy_Assessment__Energy_Use__Environmental_Impact_Potential" localSheetId="4">XMLSchema_Info!$121:$121</definedName>
    <definedName name="XMLSchema__Energy_Assessment__Energy_Use__Heating_Cost_Current" localSheetId="4">XMLSchema_Info!$129:$129</definedName>
    <definedName name="XMLSchema__Energy_Assessment__Energy_Use__Heating_Cost_Potential" localSheetId="4">XMLSchema_Info!$130:$130</definedName>
    <definedName name="XMLSchema__Energy_Assessment__Energy_Use__Hot_Water_Cost_Current" localSheetId="4">XMLSchema_Info!$131:$131</definedName>
    <definedName name="XMLSchema__Energy_Assessment__Energy_Use__Hot_Water_Cost_Potential" localSheetId="4">XMLSchema_Info!$132:$132</definedName>
    <definedName name="XMLSchema__Energy_Assessment__Energy_Use__Lighting_Cost_Current" localSheetId="4">XMLSchema_Info!$127:$127</definedName>
    <definedName name="XMLSchema__Energy_Assessment__Energy_Use__Lighting_Cost_Potential" localSheetId="4">XMLSchema_Info!$128:$128</definedName>
    <definedName name="XMLSchema__Energy_Assessment__Energy_Use__TER" localSheetId="4">XMLSchema_Info!$112:$112</definedName>
    <definedName name="XMLSchema__Energy_Assessment__Energy_Use__TFEE" localSheetId="4">XMLSchema_Info!$116:$116</definedName>
    <definedName name="XMLSchema__Energy_Assessment__Energy_Use__TPER" localSheetId="4">XMLSchema_Info!$114:$114</definedName>
    <definedName name="XMLSchema__Energy_Assessment__Green_Deal_Package__Electricity_Saving" localSheetId="4">XMLSchema_Info!$168:$168</definedName>
    <definedName name="XMLSchema__Energy_Assessment__Green_Deal_Package__Gas_Saving" localSheetId="4">XMLSchema_Info!$169:$169</definedName>
    <definedName name="XMLSchema__Energy_Assessment__Green_Deal_Package__Green_Deal_Improvement" localSheetId="4">XMLSchema_Info!$165:$165</definedName>
    <definedName name="XMLSchema__Energy_Assessment__Green_Deal_Package__Other_Fuel_Saving" localSheetId="4">XMLSchema_Info!$170:$170</definedName>
    <definedName name="XMLSchema__Energy_Assessment__LZC_Energy_Sources__LZC_Energy_Source" localSheetId="4">XMLSchema_Info!$150:$150</definedName>
    <definedName name="XMLSchema__Energy_Assessment__Property_Summary__Air_Tightness" localSheetId="4">XMLSchema_Info!$98:$98</definedName>
    <definedName name="XMLSchema__Energy_Assessment__Property_Summary__Dwelling_Type" localSheetId="4">XMLSchema_Info!$105:$105</definedName>
    <definedName name="XMLSchema__Energy_Assessment__Property_Summary__Floor" localSheetId="4">XMLSchema_Info!$70:$70</definedName>
    <definedName name="XMLSchema__Energy_Assessment__Property_Summary__Has_Fixed_Air_Conditioning" localSheetId="4">XMLSchema_Info!$102:$102</definedName>
    <definedName name="XMLSchema__Energy_Assessment__Property_Summary__Has_Heated_Separate_Conservatory" localSheetId="4">XMLSchema_Info!$104:$104</definedName>
    <definedName name="XMLSchema__Energy_Assessment__Property_Summary__Has_Hot_Water_Cylinder" localSheetId="4">XMLSchema_Info!$103:$103</definedName>
    <definedName name="XMLSchema__Energy_Assessment__Property_Summary__Hot_Water" localSheetId="4">XMLSchema_Info!$90:$90</definedName>
    <definedName name="XMLSchema__Energy_Assessment__Property_Summary__Is_Zero_Carbon_Home" localSheetId="4">XMLSchema_Info!$109:$109</definedName>
    <definedName name="XMLSchema__Energy_Assessment__Property_Summary__Lighting" localSheetId="4">XMLSchema_Info!$94:$94</definedName>
    <definedName name="XMLSchema__Energy_Assessment__Property_Summary__Main_Heating" localSheetId="4">XMLSchema_Info!$78:$78</definedName>
    <definedName name="XMLSchema__Energy_Assessment__Property_Summary__Main_Heating_Controls" localSheetId="4">XMLSchema_Info!$82:$82</definedName>
    <definedName name="XMLSchema__Energy_Assessment__Property_Summary__Multiple_Glazed_Percentage" localSheetId="4">XMLSchema_Info!$107:$107</definedName>
    <definedName name="XMLSchema__Energy_Assessment__Property_Summary__Multiple_Glazed_Percentage_NR" localSheetId="4">XMLSchema_Info!$108:$108</definedName>
    <definedName name="XMLSchema__Energy_Assessment__Property_Summary__Roof" localSheetId="4">XMLSchema_Info!$66:$66</definedName>
    <definedName name="XMLSchema__Energy_Assessment__Property_Summary__Secondary_Heating" localSheetId="4">XMLSchema_Info!$86:$86</definedName>
    <definedName name="XMLSchema__Energy_Assessment__Property_Summary__Total_Floor_Area" localSheetId="4">XMLSchema_Info!$106:$106</definedName>
    <definedName name="XMLSchema__Energy_Assessment__Property_Summary__Walls" localSheetId="4">XMLSchema_Info!$62:$62</definedName>
    <definedName name="XMLSchema__Energy_Assessment__Property_Summary__Windows" localSheetId="4">XMLSchema_Info!$74:$74</definedName>
    <definedName name="XMLSchema__Energy_Assessment__Renewable_Heat_Incentive__RHI_Existing_Dwelling" localSheetId="4">XMLSchema_Info!$155:$155</definedName>
    <definedName name="XMLSchema__Energy_Assessment__Renewable_Heat_Incentive__RHI_New_Dwelling" localSheetId="4">XMLSchema_Info!$152:$152</definedName>
    <definedName name="XMLSchema__Energy_Assessment__Suggested_Improvements__Improvement" localSheetId="4">XMLSchema_Info!$134:$134</definedName>
    <definedName name="XMLSchema__Energy_Feature__Air_Change_Rates__Air_Change_Rate" localSheetId="4">XMLSchema_Info!$580:$580</definedName>
    <definedName name="XMLSchema__FGHRS_Energy_Source__Hydro_Electric_Generation_Months__Hydro_Electric_Generation_Month" localSheetId="4">XMLSchema_Info!$348:$348</definedName>
    <definedName name="XMLSchema__FGHRS_Energy_Source__PV_Arrays__PV_Array" localSheetId="4">XMLSchema_Info!$329:$329</definedName>
    <definedName name="XMLSchema__FGHRS_Energy_Source__Wind_Turbines__Wind_Turbine" localSheetId="4">XMLSchema_Info!$339:$339</definedName>
    <definedName name="XMLSchema__Fixed_Lights__Fixed_Light__Lighting_Efficacy" localSheetId="4">XMLSchema_Info!$563:$563</definedName>
    <definedName name="XMLSchema__Fixed_Lights__Fixed_Light__Lighting_Outlets" localSheetId="4">XMLSchema_Info!$565:$565</definedName>
    <definedName name="XMLSchema__Fixed_Lights__Fixed_Light__Lighting_Power" localSheetId="4">XMLSchema_Info!$564:$564</definedName>
    <definedName name="XMLSchema__Green_Deal_Package__Green_Deal_Improvement__Improvement_Number" localSheetId="4">XMLSchema_Info!$167:$167</definedName>
    <definedName name="XMLSchema__Green_Deal_Package__Green_Deal_Improvement__Improvement_Type" localSheetId="4">XMLSchema_Info!$166:$166</definedName>
    <definedName name="XMLSchema__Home_Inspector__Contact_Address__Address_Line_1" localSheetId="4">XMLSchema_Info!$29:$29</definedName>
    <definedName name="XMLSchema__Home_Inspector__Contact_Address__Address_Line_2" localSheetId="4">XMLSchema_Info!$30:$30</definedName>
    <definedName name="XMLSchema__Home_Inspector__Contact_Address__Address_Line_3" localSheetId="4">XMLSchema_Info!$31:$31</definedName>
    <definedName name="XMLSchema__Home_Inspector__Contact_Address__Post_Town" localSheetId="4">XMLSchema_Info!$32:$32</definedName>
    <definedName name="XMLSchema__Home_Inspector__Contact_Address__Postcode" localSheetId="4">XMLSchema_Info!$33:$33</definedName>
    <definedName name="XMLSchema__Home_Inspector__Identification_Number__Certificate_Number" localSheetId="4">XMLSchema_Info!$42:$42</definedName>
    <definedName name="XMLSchema__Home_Inspector__Identification_Number__Membership_Number" localSheetId="4">XMLSchema_Info!$43:$43</definedName>
    <definedName name="XMLSchema__Hydro_Electric_Generation_Months__Hydro_Electric_Generation_Month__Hydro_Month" localSheetId="4">XMLSchema_Info!$442:$442</definedName>
    <definedName name="XMLSchema__Hydro_Electric_Generation_Months__Hydro_Electric_Generation_Month__Hydro_Value" localSheetId="4">XMLSchema_Info!$443:$443</definedName>
    <definedName name="XMLSchema__Improvement__Improvement_Details__Improvement_Number" localSheetId="4">XMLSchema_Info!$184:$184</definedName>
    <definedName name="XMLSchema__Improvement__Improvement_Details__Improvement_Texts" localSheetId="4">XMLSchema_Info!$180:$180</definedName>
    <definedName name="XMLSchema__Improvement_Details__Improvement_Texts__Improvement_Description" localSheetId="4">XMLSchema_Info!$183:$183</definedName>
    <definedName name="XMLSchema__Improvement_Details__Improvement_Texts__Improvement_Heading" localSheetId="4">XMLSchema_Info!$182:$182</definedName>
    <definedName name="XMLSchema__Improvement_Details__Improvement_Texts__Improvement_Summary" localSheetId="4">XMLSchema_Info!$181:$181</definedName>
    <definedName name="XMLSchema__Main_Heating__FGHRS_Energy_Source__Electricity_Tariff" localSheetId="4">XMLSchema_Info!$344:$344</definedName>
    <definedName name="XMLSchema__Main_Heating__FGHRS_Energy_Source__Hydro_Electric_Certificate" localSheetId="4">XMLSchema_Info!$346:$346</definedName>
    <definedName name="XMLSchema__Main_Heating__FGHRS_Energy_Source__Hydro_Electric_Generation" localSheetId="4">XMLSchema_Info!$345:$345</definedName>
    <definedName name="XMLSchema__Main_Heating__FGHRS_Energy_Source__Hydro_Electric_Generation_Months" localSheetId="4">XMLSchema_Info!$347:$347</definedName>
    <definedName name="XMLSchema__Main_Heating__FGHRS_Energy_Source__Is_Hydro_Output_Connected_To_Dwelling_Meter" localSheetId="4">XMLSchema_Info!$351:$351</definedName>
    <definedName name="XMLSchema__Main_Heating__FGHRS_Energy_Source__PV_Arrays" localSheetId="4">XMLSchema_Info!$328:$328</definedName>
    <definedName name="XMLSchema__Main_Heating__FGHRS_Energy_Source__Wind_Turbines" localSheetId="4">XMLSchema_Info!$338:$338</definedName>
    <definedName name="XMLSchema__Main_Heating__Main_Heating_Declared_Values__Efficiency" localSheetId="4">XMLSchema_Info!$353:$353</definedName>
    <definedName name="XMLSchema__Main_Heating__Main_Heating_Declared_Values__Make_Model" localSheetId="4">XMLSchema_Info!$354:$354</definedName>
    <definedName name="XMLSchema__Main_Heating__Main_Heating_Declared_Values__Test_Method" localSheetId="4">XMLSchema_Info!$355:$355</definedName>
    <definedName name="XMLSchema__Main_Heating__Storage_Heaters__Storage_Heater" localSheetId="4">XMLSchema_Info!$357:$357</definedName>
    <definedName name="XMLSchema__Main_Heating_Details__Main_Heating__Boiler_Fuel_Feed" localSheetId="4">XMLSchema_Info!$315:$315</definedName>
    <definedName name="XMLSchema__Main_Heating_Details__Main_Heating__Burner_Control" localSheetId="4">XMLSchema_Info!$319:$319</definedName>
    <definedName name="XMLSchema__Main_Heating_Details__Main_Heating__Case_Heat_Emission" localSheetId="4">XMLSchema_Info!$300:$300</definedName>
    <definedName name="XMLSchema__Main_Heating_Details__Main_Heating__Central_Heating_Pump_Age" localSheetId="4">XMLSchema_Info!$363:$363</definedName>
    <definedName name="XMLSchema__Main_Heating_Details__Main_Heating__Combi_Boiler_Type" localSheetId="4">XMLSchema_Info!$299:$299</definedName>
    <definedName name="XMLSchema__Main_Heating_Details__Main_Heating__Condensing_Boiler_Heat_Distribution" localSheetId="4">XMLSchema_Info!$296:$296</definedName>
    <definedName name="XMLSchema__Main_Heating_Details__Main_Heating__Control_Index_Number" localSheetId="4">XMLSchema_Info!$364:$364</definedName>
    <definedName name="XMLSchema__Main_Heating_Details__Main_Heating__Efficiency_Type" localSheetId="4">XMLSchema_Info!$320:$320</definedName>
    <definedName name="XMLSchema__Main_Heating_Details__Main_Heating__Electric_CPSU_Operating_Temperature" localSheetId="4">XMLSchema_Info!$317:$317</definedName>
    <definedName name="XMLSchema__Main_Heating_Details__Main_Heating__Emitter_Temperature" localSheetId="4">XMLSchema_Info!$361:$361</definedName>
    <definedName name="XMLSchema__Main_Heating_Details__Main_Heating__FGHRS_Energy_Source" localSheetId="4">XMLSchema_Info!$327:$327</definedName>
    <definedName name="XMLSchema__Main_Heating_Details__Main_Heating__FGHRS_Index_Number" localSheetId="4">XMLSchema_Info!$326:$326</definedName>
    <definedName name="XMLSchema__Main_Heating_Details__Main_Heating__Gas_Or_Oil_Boiler_Type" localSheetId="4">XMLSchema_Info!$298:$298</definedName>
    <definedName name="XMLSchema__Main_Heating_Details__Main_Heating__Has_FGHRS" localSheetId="4">XMLSchema_Info!$325:$325</definedName>
    <definedName name="XMLSchema__Main_Heating_Details__Main_Heating__Has_Separate_Delayed_Start" localSheetId="4">XMLSchema_Info!$314:$314</definedName>
    <definedName name="XMLSchema__Main_Heating_Details__Main_Heating__Heat_Emitter_Type" localSheetId="4">XMLSchema_Info!$307:$307</definedName>
    <definedName name="XMLSchema__Main_Heating_Details__Main_Heating__Heat_Pump_Heat_Distribution" localSheetId="4">XMLSchema_Info!$297:$297</definedName>
    <definedName name="XMLSchema__Main_Heating_Details__Main_Heating__Heat_Transfer_To_Water" localSheetId="4">XMLSchema_Info!$301:$301</definedName>
    <definedName name="XMLSchema__Main_Heating_Details__Main_Heating__Heating_Controller_Ecodesign_Class" localSheetId="4">XMLSchema_Info!$366:$366</definedName>
    <definedName name="XMLSchema__Main_Heating_Details__Main_Heating__Heating_Controller_Function" localSheetId="4">XMLSchema_Info!$365:$365</definedName>
    <definedName name="XMLSchema__Main_Heating_Details__Main_Heating__Heating_Controller_Manufacturer" localSheetId="4">XMLSchema_Info!$367:$367</definedName>
    <definedName name="XMLSchema__Main_Heating_Details__Main_Heating__Heating_Controller_Model" localSheetId="4">XMLSchema_Info!$368:$368</definedName>
    <definedName name="XMLSchema__Main_Heating_Details__Main_Heating__Is_Central_Heating_Pump_In_Heated_Space" localSheetId="4">XMLSchema_Info!$311:$311</definedName>
    <definedName name="XMLSchema__Main_Heating_Details__Main_Heating__Is_Condensing_Boiler" localSheetId="4">XMLSchema_Info!$295:$295</definedName>
    <definedName name="XMLSchema__Main_Heating_Details__Main_Heating__Is_Flue_Fan_Present" localSheetId="4">XMLSchema_Info!$310:$310</definedName>
    <definedName name="XMLSchema__Main_Heating_Details__Main_Heating__Is_Interlocked_System" localSheetId="4">XMLSchema_Info!$313:$313</definedName>
    <definedName name="XMLSchema__Main_Heating_Details__Main_Heating__Is_Main_Heating_HETAS_Approved" localSheetId="4">XMLSchema_Info!$316:$316</definedName>
    <definedName name="XMLSchema__Main_Heating_Details__Main_Heating__Is_Oil_Pump_In_Heated_Space" localSheetId="4">XMLSchema_Info!$312:$312</definedName>
    <definedName name="XMLSchema__Main_Heating_Details__Main_Heating__Main_Fuel_Type" localSheetId="4">XMLSchema_Info!$304:$304</definedName>
    <definedName name="XMLSchema__Main_Heating_Details__Main_Heating__Main_Heating_Category" localSheetId="4">XMLSchema_Info!$288:$288</definedName>
    <definedName name="XMLSchema__Main_Heating_Details__Main_Heating__Main_Heating_Code" localSheetId="4">XMLSchema_Info!$303:$303</definedName>
    <definedName name="XMLSchema__Main_Heating_Details__Main_Heating__Main_Heating_Commissioning_Certificate" localSheetId="4">XMLSchema_Info!$293:$293</definedName>
    <definedName name="XMLSchema__Main_Heating_Details__Main_Heating__Main_Heating_Control" localSheetId="4">XMLSchema_Info!$306:$306</definedName>
    <definedName name="XMLSchema__Main_Heating_Details__Main_Heating__Main_Heating_Data_Source" localSheetId="4">XMLSchema_Info!$289:$289</definedName>
    <definedName name="XMLSchema__Main_Heating_Details__Main_Heating__Main_Heating_Declared_Values" localSheetId="4">XMLSchema_Info!$352:$352</definedName>
    <definedName name="XMLSchema__Main_Heating_Details__Main_Heating__Main_Heating_Efficiency" localSheetId="4">XMLSchema_Info!$323:$323</definedName>
    <definedName name="XMLSchema__Main_Heating_Details__Main_Heating__Main_Heating_Efficiency_Summer" localSheetId="4">XMLSchema_Info!$322:$322</definedName>
    <definedName name="XMLSchema__Main_Heating_Details__Main_Heating__Main_Heating_Efficiency_Winter" localSheetId="4">XMLSchema_Info!$321:$321</definedName>
    <definedName name="XMLSchema__Main_Heating_Details__Main_Heating__Main_Heating_Flue_Type" localSheetId="4">XMLSchema_Info!$309:$309</definedName>
    <definedName name="XMLSchema__Main_Heating_Details__Main_Heating__Main_Heating_Fraction" localSheetId="4">XMLSchema_Info!$318:$318</definedName>
    <definedName name="XMLSchema__Main_Heating_Details__Main_Heating__Main_Heating_Index_Number" localSheetId="4">XMLSchema_Info!$290:$290</definedName>
    <definedName name="XMLSchema__Main_Heating_Details__Main_Heating__Main_Heating_Installation_Engineer" localSheetId="4">XMLSchema_Info!$294:$294</definedName>
    <definedName name="XMLSchema__Main_Heating_Details__Main_Heating__Main_Heating_Manufacturer" localSheetId="4">XMLSchema_Info!$291:$291</definedName>
    <definedName name="XMLSchema__Main_Heating_Details__Main_Heating__Main_Heating_Model" localSheetId="4">XMLSchema_Info!$292:$292</definedName>
    <definedName name="XMLSchema__Main_Heating_Details__Main_Heating__Main_Heating_Number" localSheetId="4">XMLSchema_Info!$287:$287</definedName>
    <definedName name="XMLSchema__Main_Heating_Details__Main_Heating__Main_Heating_System_Type" localSheetId="4">XMLSchema_Info!$324:$324</definedName>
    <definedName name="XMLSchema__Main_Heating_Details__Main_Heating__MCS_Installed_Heat_Pump" localSheetId="4">XMLSchema_Info!$362:$362</definedName>
    <definedName name="XMLSchema__Main_Heating_Details__Main_Heating__PCDF_Fuel_Index" localSheetId="4">XMLSchema_Info!$305:$305</definedName>
    <definedName name="XMLSchema__Main_Heating_Details__Main_Heating__Solid_Fuel_Boiler_Type" localSheetId="4">XMLSchema_Info!$302:$302</definedName>
    <definedName name="XMLSchema__Main_Heating_Details__Main_Heating__Storage_Heaters" localSheetId="4">XMLSchema_Info!$356:$356</definedName>
    <definedName name="XMLSchema__Main_Heating_Details__Main_Heating__Underfloor_Heat_Emitter_Type" localSheetId="4">XMLSchema_Info!$308:$308</definedName>
    <definedName name="XMLSchema__Property__Address__Address_Line_1" localSheetId="4">XMLSchema_Info!$46:$46</definedName>
    <definedName name="XMLSchema__Property__Address__Address_Line_2" localSheetId="4">XMLSchema_Info!$47:$47</definedName>
    <definedName name="XMLSchema__Property__Address__Address_Line_3" localSheetId="4">XMLSchema_Info!$48:$48</definedName>
    <definedName name="XMLSchema__Property__Address__Post_Town" localSheetId="4">XMLSchema_Info!$49:$49</definedName>
    <definedName name="XMLSchema__Property__Address__Postcode" localSheetId="4">XMLSchema_Info!$50:$50</definedName>
    <definedName name="XMLSchema__Property_Summary__Air_Tightness__Description" localSheetId="4">XMLSchema_Info!$99:$99</definedName>
    <definedName name="XMLSchema__Property_Summary__Air_Tightness__Energy_Efficiency_Rating" localSheetId="4">XMLSchema_Info!$100:$100</definedName>
    <definedName name="XMLSchema__Property_Summary__Air_Tightness__Environmental_Efficiency_Rating" localSheetId="4">XMLSchema_Info!$101:$101</definedName>
    <definedName name="XMLSchema__Property_Summary__Floor__Description" localSheetId="4">XMLSchema_Info!$71:$71</definedName>
    <definedName name="XMLSchema__Property_Summary__Floor__Energy_Efficiency_Rating" localSheetId="4">XMLSchema_Info!$72:$72</definedName>
    <definedName name="XMLSchema__Property_Summary__Floor__Environmental_Efficiency_Rating" localSheetId="4">XMLSchema_Info!$73:$73</definedName>
    <definedName name="XMLSchema__Property_Summary__Hot_Water__Description" localSheetId="4">XMLSchema_Info!$91:$91</definedName>
    <definedName name="XMLSchema__Property_Summary__Hot_Water__Energy_Efficiency_Rating" localSheetId="4">XMLSchema_Info!$92:$92</definedName>
    <definedName name="XMLSchema__Property_Summary__Hot_Water__Environmental_Efficiency_Rating" localSheetId="4">XMLSchema_Info!$93:$93</definedName>
    <definedName name="XMLSchema__Property_Summary__Lighting__Description" localSheetId="4">XMLSchema_Info!$95:$95</definedName>
    <definedName name="XMLSchema__Property_Summary__Lighting__Energy_Efficiency_Rating" localSheetId="4">XMLSchema_Info!$96:$96</definedName>
    <definedName name="XMLSchema__Property_Summary__Lighting__Environmental_Efficiency_Rating" localSheetId="4">XMLSchema_Info!$97:$97</definedName>
    <definedName name="XMLSchema__Property_Summary__Main_Heating__Description" localSheetId="4">XMLSchema_Info!$79:$79</definedName>
    <definedName name="XMLSchema__Property_Summary__Main_Heating__Energy_Efficiency_Rating" localSheetId="4">XMLSchema_Info!$80:$80</definedName>
    <definedName name="XMLSchema__Property_Summary__Main_Heating__Environmental_Efficiency_Rating" localSheetId="4">XMLSchema_Info!$81:$81</definedName>
    <definedName name="XMLSchema__Property_Summary__Main_Heating_Controls__Description" localSheetId="4">XMLSchema_Info!$83:$83</definedName>
    <definedName name="XMLSchema__Property_Summary__Main_Heating_Controls__Energy_Efficiency_Rating" localSheetId="4">XMLSchema_Info!$84:$84</definedName>
    <definedName name="XMLSchema__Property_Summary__Main_Heating_Controls__Environmental_Efficiency_Rating" localSheetId="4">XMLSchema_Info!$85:$85</definedName>
    <definedName name="XMLSchema__Property_Summary__Roof__Description" localSheetId="4">XMLSchema_Info!$67:$67</definedName>
    <definedName name="XMLSchema__Property_Summary__Roof__Energy_Efficiency_Rating" localSheetId="4">XMLSchema_Info!$68:$68</definedName>
    <definedName name="XMLSchema__Property_Summary__Roof__Environmental_Efficiency_Rating" localSheetId="4">XMLSchema_Info!$69:$69</definedName>
    <definedName name="XMLSchema__Property_Summary__Secondary_Heating__Description" localSheetId="4">XMLSchema_Info!$87:$87</definedName>
    <definedName name="XMLSchema__Property_Summary__Secondary_Heating__Energy_Efficiency_Rating" localSheetId="4">XMLSchema_Info!$88:$88</definedName>
    <definedName name="XMLSchema__Property_Summary__Secondary_Heating__Environmental_Efficiency_Rating" localSheetId="4">XMLSchema_Info!$89:$89</definedName>
    <definedName name="XMLSchema__Property_Summary__Walls__Description" localSheetId="4">XMLSchema_Info!$63:$63</definedName>
    <definedName name="XMLSchema__Property_Summary__Walls__Energy_Efficiency_Rating" localSheetId="4">XMLSchema_Info!$64:$64</definedName>
    <definedName name="XMLSchema__Property_Summary__Walls__Environmental_Efficiency_Rating" localSheetId="4">XMLSchema_Info!$65:$65</definedName>
    <definedName name="XMLSchema__Property_Summary__Windows__Description" localSheetId="4">XMLSchema_Info!$75:$75</definedName>
    <definedName name="XMLSchema__Property_Summary__Windows__Energy_Efficiency_Rating" localSheetId="4">XMLSchema_Info!$76:$76</definedName>
    <definedName name="XMLSchema__Property_Summary__Windows__Environmental_Efficiency_Rating" localSheetId="4">XMLSchema_Info!$77:$77</definedName>
    <definedName name="XMLSchema__PV_Arrays__PV_Array__MCS_Certificate" localSheetId="4">XMLSchema_Info!$427:$427</definedName>
    <definedName name="XMLSchema__PV_Arrays__PV_Array__MCS_Certificate_Reference" localSheetId="4">XMLSchema_Info!$428:$428</definedName>
    <definedName name="XMLSchema__PV_Arrays__PV_Array__Orientation" localSheetId="4">XMLSchema_Info!$424:$424</definedName>
    <definedName name="XMLSchema__PV_Arrays__PV_Array__Overshading" localSheetId="4">XMLSchema_Info!$426:$426</definedName>
    <definedName name="XMLSchema__PV_Arrays__PV_Array__Overshading_MCS" localSheetId="4">XMLSchema_Info!$430:$430</definedName>
    <definedName name="XMLSchema__PV_Arrays__PV_Array__Peak_Power" localSheetId="4">XMLSchema_Info!$423:$423</definedName>
    <definedName name="XMLSchema__PV_Arrays__PV_Array__Pitch" localSheetId="4">XMLSchema_Info!$425:$425</definedName>
    <definedName name="XMLSchema__PV_Arrays__PV_Array__PV_Panel_Manufacturer_Name" localSheetId="4">XMLSchema_Info!$429:$429</definedName>
    <definedName name="XMLSchema__Renewable_Heat_Incentive__RHI_Existing_Dwelling__Impact_Of_Cavity_Insulation" localSheetId="4">XMLSchema_Info!$162:$162</definedName>
    <definedName name="XMLSchema__Renewable_Heat_Incentive__RHI_Existing_Dwelling__Impact_Of_Loft_Insulation" localSheetId="4">XMLSchema_Info!$161:$161</definedName>
    <definedName name="XMLSchema__Renewable_Heat_Incentive__RHI_Existing_Dwelling__Impact_Of_Solid_Wall_Insulation" localSheetId="4">XMLSchema_Info!$163:$163</definedName>
    <definedName name="XMLSchema__Renewable_Heat_Incentive__RHI_Existing_Dwelling__Space_Heating_Existing_Dwelling" localSheetId="4">XMLSchema_Info!$156:$156</definedName>
    <definedName name="XMLSchema__Renewable_Heat_Incentive__RHI_Existing_Dwelling__Space_Heating_With_Cavity_Insulation" localSheetId="4">XMLSchema_Info!$158:$158</definedName>
    <definedName name="XMLSchema__Renewable_Heat_Incentive__RHI_Existing_Dwelling__Space_Heating_With_Loft_And_Cavity_Insulation" localSheetId="4">XMLSchema_Info!$159:$159</definedName>
    <definedName name="XMLSchema__Renewable_Heat_Incentive__RHI_Existing_Dwelling__Space_Heating_With_Loft_Insulation" localSheetId="4">XMLSchema_Info!$157:$157</definedName>
    <definedName name="XMLSchema__Renewable_Heat_Incentive__RHI_Existing_Dwelling__Water_Heating" localSheetId="4">XMLSchema_Info!$160:$160</definedName>
    <definedName name="XMLSchema__Renewable_Heat_Incentive__RHI_New_Dwelling__Space_Heating" localSheetId="4">XMLSchema_Info!$153:$153</definedName>
    <definedName name="XMLSchema__Renewable_Heat_Incentive__RHI_New_Dwelling__Water_Heating" localSheetId="4">XMLSchema_Info!$154:$154</definedName>
    <definedName name="XMLSchema__Report_Header__Home_Inspector__Company_Name" localSheetId="4">XMLSchema_Info!$38:$38</definedName>
    <definedName name="XMLSchema__Report_Header__Home_Inspector__Contact_Address" localSheetId="4">XMLSchema_Info!$28:$28</definedName>
    <definedName name="XMLSchema__Report_Header__Home_Inspector__E_Mail" localSheetId="4">XMLSchema_Info!$35:$35</definedName>
    <definedName name="XMLSchema__Report_Header__Home_Inspector__Fax" localSheetId="4">XMLSchema_Info!$36:$36</definedName>
    <definedName name="XMLSchema__Report_Header__Home_Inspector__Identification_Number" localSheetId="4">XMLSchema_Info!$41:$41</definedName>
    <definedName name="XMLSchema__Report_Header__Home_Inspector__Name" localSheetId="4">XMLSchema_Info!$26:$26</definedName>
    <definedName name="XMLSchema__Report_Header__Home_Inspector__Notify_Lodgement" localSheetId="4">XMLSchema_Info!$27:$27</definedName>
    <definedName name="XMLSchema__Report_Header__Home_Inspector__Scheme_Name" localSheetId="4">XMLSchema_Info!$39:$39</definedName>
    <definedName name="XMLSchema__Report_Header__Home_Inspector__Scheme_Web_Site" localSheetId="4">XMLSchema_Info!$40:$40</definedName>
    <definedName name="XMLSchema__Report_Header__Home_Inspector__Telephone" localSheetId="4">XMLSchema_Info!$37:$37</definedName>
    <definedName name="XMLSchema__Report_Header__Home_Inspector__Web_Site" localSheetId="4">XMLSchema_Info!$34:$34</definedName>
    <definedName name="XMLSchema__Report_Header__Property__Address" localSheetId="4">XMLSchema_Info!$45:$45</definedName>
    <definedName name="XMLSchema__Report_Header__Property__Plot_Reference" localSheetId="4">XMLSchema_Info!$53:$53</definedName>
    <definedName name="XMLSchema__Report_Header__Property__Site_Reference" localSheetId="4">XMLSchema_Info!$52:$52</definedName>
    <definedName name="XMLSchema__Report_Header__Property__UPRN" localSheetId="4">XMLSchema_Info!$51:$51</definedName>
    <definedName name="XMLSchema__Report_Header__Related_Party_Disclosure__Related_Party_Disclosure_Number" localSheetId="4">XMLSchema_Info!$58:$58</definedName>
    <definedName name="XMLSchema__Report_Header__Related_Party_Disclosure__Related_Party_Disclosure_Text" localSheetId="4">XMLSchema_Info!$57:$57</definedName>
    <definedName name="XMLSchema__SAP_Building_Part__SAP_Floor_Dimensions__SAP_Floor_Dimension" localSheetId="4">XMLSchema_Info!$469:$469</definedName>
    <definedName name="XMLSchema__SAP_Building_Part__SAP_Openings__SAP_Opening" localSheetId="4">XMLSchema_Info!$452:$452</definedName>
    <definedName name="XMLSchema__SAP_Building_Part__SAP_Roofs__SAP_Roof" localSheetId="4">XMLSchema_Info!$461:$461</definedName>
    <definedName name="XMLSchema__SAP_Building_Part__SAP_Thermal_Bridges__Calculation_Reference" localSheetId="4">XMLSchema_Info!$483:$483</definedName>
    <definedName name="XMLSchema__SAP_Building_Part__SAP_Thermal_Bridges__SAP_Thermal_Bridge" localSheetId="4">XMLSchema_Info!$484:$484</definedName>
    <definedName name="XMLSchema__SAP_Building_Part__SAP_Thermal_Bridges__Thermal_Bridge_Code" localSheetId="4">XMLSchema_Info!$481:$481</definedName>
    <definedName name="XMLSchema__SAP_Building_Part__SAP_Thermal_Bridges__User_Defined_Y_Value" localSheetId="4">XMLSchema_Info!$482:$482</definedName>
    <definedName name="XMLSchema__SAP_Building_Part__SAP_Walls__SAP_Wall" localSheetId="4">XMLSchema_Info!$491:$491</definedName>
    <definedName name="XMLSchema__SAP_Building_Parts__SAP_Building_Part__Building_Part_Number" localSheetId="4">XMLSchema_Info!$447:$447</definedName>
    <definedName name="XMLSchema__SAP_Building_Parts__SAP_Building_Part__Construction_Age_Band" localSheetId="4">XMLSchema_Info!$450:$450</definedName>
    <definedName name="XMLSchema__SAP_Building_Parts__SAP_Building_Part__Construction_Year" localSheetId="4">XMLSchema_Info!$449:$449</definedName>
    <definedName name="XMLSchema__SAP_Building_Parts__SAP_Building_Part__Identifier" localSheetId="4">XMLSchema_Info!$448:$448</definedName>
    <definedName name="XMLSchema__SAP_Building_Parts__SAP_Building_Part__SAP_Floor_Dimensions" localSheetId="4">XMLSchema_Info!$468:$468</definedName>
    <definedName name="XMLSchema__SAP_Building_Parts__SAP_Building_Part__SAP_Openings" localSheetId="4">XMLSchema_Info!$451:$451</definedName>
    <definedName name="XMLSchema__SAP_Building_Parts__SAP_Building_Part__SAP_Roofs" localSheetId="4">XMLSchema_Info!$460:$460</definedName>
    <definedName name="XMLSchema__SAP_Building_Parts__SAP_Building_Part__SAP_Thermal_Bridges" localSheetId="4">XMLSchema_Info!$480:$480</definedName>
    <definedName name="XMLSchema__SAP_Building_Parts__SAP_Building_Part__SAP_Walls" localSheetId="4">XMLSchema_Info!$490:$490</definedName>
    <definedName name="XMLSchema__SAP_Community_Heating_System__Community_Heat_Sources__Community_Heat_Source" localSheetId="4">XMLSchema_Info!$270:$270</definedName>
    <definedName name="XMLSchema__SAP_Community_Heating_Systems__SAP_Community_Heating_System__Charging_Linked_To_Heat_Use" localSheetId="4">XMLSchema_Info!$280:$280</definedName>
    <definedName name="XMLSchema__SAP_Community_Heating_Systems__SAP_Community_Heating_System__Community_Heat_Sources" localSheetId="4">XMLSchema_Info!$269:$269</definedName>
    <definedName name="XMLSchema__SAP_Community_Heating_Systems__SAP_Community_Heating_System__Community_Heating_CO2_Emission_Factor" localSheetId="4">XMLSchema_Info!$262:$262</definedName>
    <definedName name="XMLSchema__SAP_Community_Heating_Systems__SAP_Community_Heating_System__Community_Heating_Distribution_Loss_Factor" localSheetId="4">XMLSchema_Info!$279:$279</definedName>
    <definedName name="XMLSchema__SAP_Community_Heating_Systems__SAP_Community_Heating_System__Community_Heating_Distribution_Type" localSheetId="4">XMLSchema_Info!$268:$268</definedName>
    <definedName name="XMLSchema__SAP_Community_Heating_Systems__SAP_Community_Heating_System__Community_Heating_Name" localSheetId="4">XMLSchema_Info!$261:$261</definedName>
    <definedName name="XMLSchema__SAP_Community_Heating_Systems__SAP_Community_Heating_System__Community_Heating_Primary_Energy_Factor" localSheetId="4">XMLSchema_Info!$263:$263</definedName>
    <definedName name="XMLSchema__SAP_Community_Heating_Systems__SAP_Community_Heating_System__Community_Heating_Use" localSheetId="4">XMLSchema_Info!$264:$264</definedName>
    <definedName name="XMLSchema__SAP_Community_Heating_Systems__SAP_Community_Heating_System__Heat_Network_Assessed_As_New" localSheetId="4">XMLSchema_Info!$284:$284</definedName>
    <definedName name="XMLSchema__SAP_Community_Heating_Systems__SAP_Community_Heating_System__Heat_Network_Existing" localSheetId="4">XMLSchema_Info!$283:$283</definedName>
    <definedName name="XMLSchema__SAP_Community_Heating_Systems__SAP_Community_Heating_System__Heat_Network_Index_Number" localSheetId="4">XMLSchema_Info!$281:$281</definedName>
    <definedName name="XMLSchema__SAP_Community_Heating_Systems__SAP_Community_Heating_System__HIU_Index_Number" localSheetId="4">XMLSchema_Info!$267:$267</definedName>
    <definedName name="XMLSchema__SAP_Community_Heating_Systems__SAP_Community_Heating_System__Is_Community_Heating_Cylinder_In_Dwelling" localSheetId="4">XMLSchema_Info!$265:$265</definedName>
    <definedName name="XMLSchema__SAP_Community_Heating_Systems__SAP_Community_Heating_System__Is_HIU_In_Dwelling" localSheetId="4">XMLSchema_Info!$266:$266</definedName>
    <definedName name="XMLSchema__SAP_Community_Heating_Systems__SAP_Community_Heating_System__Sub_Network_Name" localSheetId="4">XMLSchema_Info!$282:$282</definedName>
    <definedName name="XMLSchema__SAP_Compliance_Report__Client_Address__Address_Line_1" localSheetId="4">XMLSchema_Info!$603:$603</definedName>
    <definedName name="XMLSchema__SAP_Compliance_Report__Client_Address__Address_Line_2" localSheetId="4">XMLSchema_Info!$604:$604</definedName>
    <definedName name="XMLSchema__SAP_Compliance_Report__Client_Address__Address_Line_3" localSheetId="4">XMLSchema_Info!$605:$605</definedName>
    <definedName name="XMLSchema__SAP_Compliance_Report__Client_Address__Post_Town" localSheetId="4">XMLSchema_Info!$606:$606</definedName>
    <definedName name="XMLSchema__SAP_Compliance_Report__Client_Address__Postcode" localSheetId="4">XMLSchema_Info!$607:$607</definedName>
    <definedName name="XMLSchema__SAP_Compliance_Report__SAP_Report__Calculation_Software_Name" localSheetId="4">XMLSchema_Info!$9:$9</definedName>
    <definedName name="XMLSchema__SAP_Compliance_Report__SAP_Report__Calculation_Software_Version" localSheetId="4">XMLSchema_Info!$10:$10</definedName>
    <definedName name="XMLSchema__SAP_Compliance_Report__SAP_Report__Energy_Assessment" localSheetId="4">XMLSchema_Info!$59:$59</definedName>
    <definedName name="XMLSchema__SAP_Compliance_Report__SAP_Report__ExternalDefinitions_Revision_Number" localSheetId="4">XMLSchema_Info!$599:$599</definedName>
    <definedName name="XMLSchema__SAP_Compliance_Report__SAP_Report__Insurance_Details" localSheetId="4">XMLSchema_Info!$593:$593</definedName>
    <definedName name="XMLSchema__SAP_Compliance_Report__SAP_Report__PCDF_Revision_Number" localSheetId="4">XMLSchema_Info!$8:$8</definedName>
    <definedName name="XMLSchema__SAP_Compliance_Report__SAP_Report__PDF" localSheetId="4">XMLSchema_Info!$592:$592</definedName>
    <definedName name="XMLSchema__SAP_Compliance_Report__SAP_Report__Report_Header" localSheetId="4">XMLSchema_Info!$13:$13</definedName>
    <definedName name="XMLSchema__SAP_Compliance_Report__SAP_Report__SAP_Data_Version" localSheetId="4">XMLSchema_Info!$7:$7</definedName>
    <definedName name="XMLSchema__SAP_Compliance_Report__SAP_Report__SAP_Version" localSheetId="4">XMLSchema_Info!$6:$6</definedName>
    <definedName name="XMLSchema__SAP_Compliance_Report__SAP_Report__SAP10_Data" localSheetId="4">XMLSchema_Info!$194:$194</definedName>
    <definedName name="XMLSchema__SAP_Compliance_Report__SAP_Report__Schema_Version_Current" localSheetId="4">XMLSchema_Info!$5:$5</definedName>
    <definedName name="XMLSchema__SAP_Compliance_Report__SAP_Report__Schema_Version_Original" localSheetId="4">XMLSchema_Info!$4:$4</definedName>
    <definedName name="XMLSchema__SAP_Compliance_Report__SAP_Report__User_Interface_Name" localSheetId="4">XMLSchema_Info!$11:$11</definedName>
    <definedName name="XMLSchema__SAP_Compliance_Report__SAP_Report__User_Interface_Version" localSheetId="4">XMLSchema_Info!$12:$12</definedName>
    <definedName name="XMLSchema__SAP_Energy_Source__Hydro_Electric_Generation_Months__Hydro_Electric_Generation_Month" localSheetId="4">XMLSchema_Info!$441:$441</definedName>
    <definedName name="XMLSchema__SAP_Energy_Source__PV_Arrays__PV_Array" localSheetId="4">XMLSchema_Info!$422:$422</definedName>
    <definedName name="XMLSchema__SAP_Energy_Source__Wind_Turbines__Wind_Turbine" localSheetId="4">XMLSchema_Info!$432:$432</definedName>
    <definedName name="XMLSchema__SAP_Floor_Dimensions__SAP_Floor_Dimension__Description" localSheetId="4">XMLSchema_Info!$472:$472</definedName>
    <definedName name="XMLSchema__SAP_Floor_Dimensions__SAP_Floor_Dimension__Floor_Type" localSheetId="4">XMLSchema_Info!$473:$473</definedName>
    <definedName name="XMLSchema__SAP_Floor_Dimensions__SAP_Floor_Dimension__Heat_Loss_Area" localSheetId="4">XMLSchema_Info!$476:$476</definedName>
    <definedName name="XMLSchema__SAP_Floor_Dimensions__SAP_Floor_Dimension__Kappa_Value" localSheetId="4">XMLSchema_Info!$478:$478</definedName>
    <definedName name="XMLSchema__SAP_Floor_Dimensions__SAP_Floor_Dimension__Kappa_Value_From_Below" localSheetId="4">XMLSchema_Info!$479:$479</definedName>
    <definedName name="XMLSchema__SAP_Floor_Dimensions__SAP_Floor_Dimension__Name" localSheetId="4">XMLSchema_Info!$470:$470</definedName>
    <definedName name="XMLSchema__SAP_Floor_Dimensions__SAP_Floor_Dimension__Storey" localSheetId="4">XMLSchema_Info!$471:$471</definedName>
    <definedName name="XMLSchema__SAP_Floor_Dimensions__SAP_Floor_Dimension__Storey_Height" localSheetId="4">XMLSchema_Info!$475:$475</definedName>
    <definedName name="XMLSchema__SAP_Floor_Dimensions__SAP_Floor_Dimension__Total_Floor_Area" localSheetId="4">XMLSchema_Info!$474:$474</definedName>
    <definedName name="XMLSchema__SAP_Floor_Dimensions__SAP_Floor_Dimension__U_Value" localSheetId="4">XMLSchema_Info!$477:$477</definedName>
    <definedName name="XMLSchema__SAP_Heating__Instantaneous_WWHRS__WWHRS_Efficiency1" localSheetId="4">XMLSchema_Info!$400:$400</definedName>
    <definedName name="XMLSchema__SAP_Heating__Instantaneous_WWHRS__WWHRS_Efficiency2" localSheetId="4">XMLSchema_Info!$403:$403</definedName>
    <definedName name="XMLSchema__SAP_Heating__Instantaneous_WWHRS__WWHRS_Index_Number1" localSheetId="4">XMLSchema_Info!$398:$398</definedName>
    <definedName name="XMLSchema__SAP_Heating__Instantaneous_WWHRS__WWHRS_Index_Number2" localSheetId="4">XMLSchema_Info!$399:$399</definedName>
    <definedName name="XMLSchema__SAP_Heating__Instantaneous_WWHRS__WWHRS_Manufacturer1" localSheetId="4">XMLSchema_Info!$401:$401</definedName>
    <definedName name="XMLSchema__SAP_Heating__Instantaneous_WWHRS__WWHRS_Manufacturer2" localSheetId="4">XMLSchema_Info!$404:$404</definedName>
    <definedName name="XMLSchema__SAP_Heating__Instantaneous_WWHRS__WWHRS_Model1" localSheetId="4">XMLSchema_Info!$402:$402</definedName>
    <definedName name="XMLSchema__SAP_Heating__Instantaneous_WWHRS__WWHRS_Model2" localSheetId="4">XMLSchema_Info!$405:$405</definedName>
    <definedName name="XMLSchema__SAP_Heating__Main_Heating_Details__Main_Heating" localSheetId="4">XMLSchema_Info!$286:$286</definedName>
    <definedName name="XMLSchema__SAP_Heating__SAP_Community_Heating_Systems__SAP_Community_Heating_System" localSheetId="4">XMLSchema_Info!$260:$260</definedName>
    <definedName name="XMLSchema__SAP_Heating__Secondary_Heating_Declared_Values__Efficiency" localSheetId="4">XMLSchema_Info!$372:$372</definedName>
    <definedName name="XMLSchema__SAP_Heating__Secondary_Heating_Declared_Values__Make_Model" localSheetId="4">XMLSchema_Info!$373:$373</definedName>
    <definedName name="XMLSchema__SAP_Heating__Secondary_Heating_Declared_Values__Test_Method" localSheetId="4">XMLSchema_Info!$374:$374</definedName>
    <definedName name="XMLSchema__SAP_Heating__Shower_Outlets__Shower_Outlet" localSheetId="4">XMLSchema_Info!$413:$413</definedName>
    <definedName name="XMLSchema__SAP_Heating__Solar_Heating_Details__Collector_Loop_Efficiency" localSheetId="4">XMLSchema_Info!$392:$392</definedName>
    <definedName name="XMLSchema__SAP_Heating__Solar_Heating_Details__Has_Solar_Powered_Pump" localSheetId="4">XMLSchema_Info!$389:$389</definedName>
    <definedName name="XMLSchema__SAP_Heating__Solar_Heating_Details__Incidence_Angle_Modifier" localSheetId="4">XMLSchema_Info!$393:$393</definedName>
    <definedName name="XMLSchema__SAP_Heating__Solar_Heating_Details__Is_Community_Solar" localSheetId="4">XMLSchema_Info!$394:$394</definedName>
    <definedName name="XMLSchema__SAP_Heating__Solar_Heating_Details__Is_Solar_Store_Combined_Cylinder" localSheetId="4">XMLSchema_Info!$390:$390</definedName>
    <definedName name="XMLSchema__SAP_Heating__Solar_Heating_Details__Overall_Heat_Loss" localSheetId="4">XMLSchema_Info!$396:$396</definedName>
    <definedName name="XMLSchema__SAP_Heating__Solar_Heating_Details__Service_Provision" localSheetId="4">XMLSchema_Info!$395:$395</definedName>
    <definedName name="XMLSchema__SAP_Heating__Solar_Heating_Details__Solar_Heating_Certificate" localSheetId="4">XMLSchema_Info!$378:$378</definedName>
    <definedName name="XMLSchema__SAP_Heating__Solar_Heating_Details__Solar_Heating_Collector_Manufacturer" localSheetId="4">XMLSchema_Info!$377:$377</definedName>
    <definedName name="XMLSchema__SAP_Heating__Solar_Heating_Details__Solar_Panel_Aperture_Area" localSheetId="4">XMLSchema_Info!$379:$379</definedName>
    <definedName name="XMLSchema__SAP_Heating__Solar_Heating_Details__Solar_Panel_Collector_Data_Source" localSheetId="4">XMLSchema_Info!$381:$381</definedName>
    <definedName name="XMLSchema__SAP_Heating__Solar_Heating_Details__Solar_Panel_Collector_Heat_Loss_Rate" localSheetId="4">XMLSchema_Info!$383:$383</definedName>
    <definedName name="XMLSchema__SAP_Heating__Solar_Heating_Details__Solar_Panel_Collector_Linear_Heat_Loss_Coefficient" localSheetId="4">XMLSchema_Info!$384:$384</definedName>
    <definedName name="XMLSchema__SAP_Heating__Solar_Heating_Details__Solar_Panel_Collector_Orientation" localSheetId="4">XMLSchema_Info!$386:$386</definedName>
    <definedName name="XMLSchema__SAP_Heating__Solar_Heating_Details__Solar_Panel_Collector_Overshading" localSheetId="4">XMLSchema_Info!$388:$388</definedName>
    <definedName name="XMLSchema__SAP_Heating__Solar_Heating_Details__Solar_Panel_Collector_Pitch" localSheetId="4">XMLSchema_Info!$387:$387</definedName>
    <definedName name="XMLSchema__SAP_Heating__Solar_Heating_Details__Solar_Panel_Collector_Second_Order_Heat_Loss_Coefficient" localSheetId="4">XMLSchema_Info!$385:$385</definedName>
    <definedName name="XMLSchema__SAP_Heating__Solar_Heating_Details__Solar_Panel_Collector_Type" localSheetId="4">XMLSchema_Info!$380:$380</definedName>
    <definedName name="XMLSchema__SAP_Heating__Solar_Heating_Details__Solar_Panel_Collector_Zero_Loss_Efficiency" localSheetId="4">XMLSchema_Info!$382:$382</definedName>
    <definedName name="XMLSchema__SAP_Heating__Solar_Heating_Details__Solar_Store_Volume" localSheetId="4">XMLSchema_Info!$391:$391</definedName>
    <definedName name="XMLSchema__SAP_Heating__Storage_WWHRS__Storage_WWHRS_Efficiency" localSheetId="4">XMLSchema_Info!$409:$409</definedName>
    <definedName name="XMLSchema__SAP_Heating__Storage_WWHRS__Storage_WWHRS_Manufacturer" localSheetId="4">XMLSchema_Info!$410:$410</definedName>
    <definedName name="XMLSchema__SAP_Heating__Storage_WWHRS__Storage_WWHRS_Model" localSheetId="4">XMLSchema_Info!$411:$411</definedName>
    <definedName name="XMLSchema__SAP_Heating__Storage_WWHRS__WWHRS_Index_Number" localSheetId="4">XMLSchema_Info!$407:$407</definedName>
    <definedName name="XMLSchema__SAP_Heating__Storage_WWHRS__WWHRS_Store_Volume" localSheetId="4">XMLSchema_Info!$408:$408</definedName>
    <definedName name="XMLSchema__SAP_Lighting__Fixed_Lights__Fixed_Light" localSheetId="4">XMLSchema_Info!$562:$562</definedName>
    <definedName name="XMLSchema__SAP_Opening_Types__SAP_Opening_Type__Data_Source" localSheetId="4">XMLSchema_Info!$503:$503</definedName>
    <definedName name="XMLSchema__SAP_Opening_Types__SAP_Opening_Type__Description" localSheetId="4">XMLSchema_Info!$502:$502</definedName>
    <definedName name="XMLSchema__SAP_Opening_Types__SAP_Opening_Type__Frame_Factor" localSheetId="4">XMLSchema_Info!$511:$511</definedName>
    <definedName name="XMLSchema__SAP_Opening_Types__SAP_Opening_Type__Frame_Type" localSheetId="4">XMLSchema_Info!$509:$509</definedName>
    <definedName name="XMLSchema__SAP_Opening_Types__SAP_Opening_Type__Glazing_Gap" localSheetId="4">XMLSchema_Info!$506:$506</definedName>
    <definedName name="XMLSchema__SAP_Opening_Types__SAP_Opening_Type__Glazing_Type" localSheetId="4">XMLSchema_Info!$505:$505</definedName>
    <definedName name="XMLSchema__SAP_Opening_Types__SAP_Opening_Type__IsArgonFilled" localSheetId="4">XMLSchema_Info!$507:$507</definedName>
    <definedName name="XMLSchema__SAP_Opening_Types__SAP_Opening_Type__IsKryptonFilled" localSheetId="4">XMLSchema_Info!$508:$508</definedName>
    <definedName name="XMLSchema__SAP_Opening_Types__SAP_Opening_Type__Name" localSheetId="4">XMLSchema_Info!$501:$501</definedName>
    <definedName name="XMLSchema__SAP_Opening_Types__SAP_Opening_Type__Solar_Transmittance" localSheetId="4">XMLSchema_Info!$510:$510</definedName>
    <definedName name="XMLSchema__SAP_Opening_Types__SAP_Opening_Type__Type" localSheetId="4">XMLSchema_Info!$504:$504</definedName>
    <definedName name="XMLSchema__SAP_Opening_Types__SAP_Opening_Type__U_Value" localSheetId="4">XMLSchema_Info!$512:$512</definedName>
    <definedName name="XMLSchema__SAP_Openings__SAP_Opening__Height" localSheetId="4">XMLSchema_Info!$458:$458</definedName>
    <definedName name="XMLSchema__SAP_Openings__SAP_Opening__Location" localSheetId="4">XMLSchema_Info!$455:$455</definedName>
    <definedName name="XMLSchema__SAP_Openings__SAP_Opening__Name" localSheetId="4">XMLSchema_Info!$453:$453</definedName>
    <definedName name="XMLSchema__SAP_Openings__SAP_Opening__Orientation" localSheetId="4">XMLSchema_Info!$456:$456</definedName>
    <definedName name="XMLSchema__SAP_Openings__SAP_Opening__Pitch" localSheetId="4">XMLSchema_Info!$459:$459</definedName>
    <definedName name="XMLSchema__SAP_Openings__SAP_Opening__Type" localSheetId="4">XMLSchema_Info!$454:$454</definedName>
    <definedName name="XMLSchema__SAP_Openings__SAP_Opening__Width" localSheetId="4">XMLSchema_Info!$457:$457</definedName>
    <definedName name="XMLSchema__SAP_Property_Details__SAP_Building_Parts__SAP_Building_Part" localSheetId="4">XMLSchema_Info!$446:$446</definedName>
    <definedName name="XMLSchema__SAP_Property_Details__SAP_Cooling__Cooled_Area" localSheetId="4">XMLSchema_Info!$588:$588</definedName>
    <definedName name="XMLSchema__SAP_Property_Details__SAP_Cooling__Cooling_System_Class" localSheetId="4">XMLSchema_Info!$590:$590</definedName>
    <definedName name="XMLSchema__SAP_Property_Details__SAP_Cooling__Cooling_System_Data_Source" localSheetId="4">XMLSchema_Info!$589:$589</definedName>
    <definedName name="XMLSchema__SAP_Property_Details__SAP_Cooling__System_Energy_Efficiency_Ratio" localSheetId="4">XMLSchema_Info!$591:$591</definedName>
    <definedName name="XMLSchema__SAP_Property_Details__SAP_Deselected_Improvements__Deselected_Improvement_Measure" localSheetId="4">XMLSchema_Info!$567:$567</definedName>
    <definedName name="XMLSchema__SAP_Property_Details__SAP_Energy_Source__Electricity_Tariff" localSheetId="4">XMLSchema_Info!$437:$437</definedName>
    <definedName name="XMLSchema__SAP_Property_Details__SAP_Energy_Source__Hydro_Electric_Certificate" localSheetId="4">XMLSchema_Info!$439:$439</definedName>
    <definedName name="XMLSchema__SAP_Property_Details__SAP_Energy_Source__Hydro_Electric_Generation" localSheetId="4">XMLSchema_Info!$438:$438</definedName>
    <definedName name="XMLSchema__SAP_Property_Details__SAP_Energy_Source__Hydro_Electric_Generation_Months" localSheetId="4">XMLSchema_Info!$440:$440</definedName>
    <definedName name="XMLSchema__SAP_Property_Details__SAP_Energy_Source__Is_Hydro_Output_Connected_To_Dwelling_Meter" localSheetId="4">XMLSchema_Info!$444:$444</definedName>
    <definedName name="XMLSchema__SAP_Property_Details__SAP_Energy_Source__PV_Arrays" localSheetId="4">XMLSchema_Info!$421:$421</definedName>
    <definedName name="XMLSchema__SAP_Property_Details__SAP_Energy_Source__Wind_Turbines" localSheetId="4">XMLSchema_Info!$431:$431</definedName>
    <definedName name="XMLSchema__SAP_Property_Details__SAP_Flat_Details__Level" localSheetId="4">XMLSchema_Info!$569:$569</definedName>
    <definedName name="XMLSchema__SAP_Property_Details__SAP_Flat_Details__Storeys" localSheetId="4">XMLSchema_Info!$570:$570</definedName>
    <definedName name="XMLSchema__SAP_Property_Details__SAP_Heating__Has_Cylinder_Thermostat" localSheetId="4">XMLSchema_Info!$254:$254</definedName>
    <definedName name="XMLSchema__SAP_Property_Details__SAP_Heating__Has_Fixed_Air_Conditioning" localSheetId="4">XMLSchema_Info!$236:$236</definedName>
    <definedName name="XMLSchema__SAP_Property_Details__SAP_Heating__Has_Hot_Water_Cylinder" localSheetId="4">XMLSchema_Info!$225:$225</definedName>
    <definedName name="XMLSchema__SAP_Property_Details__SAP_Heating__Hot_Water_Controls_Manufacturer" localSheetId="4">XMLSchema_Info!$257:$257</definedName>
    <definedName name="XMLSchema__SAP_Property_Details__SAP_Heating__Hot_Water_Controls_Model" localSheetId="4">XMLSchema_Info!$258:$258</definedName>
    <definedName name="XMLSchema__SAP_Property_Details__SAP_Heating__Hot_Water_Store_Commissioning_Certificate" localSheetId="4">XMLSchema_Info!$244:$244</definedName>
    <definedName name="XMLSchema__SAP_Property_Details__SAP_Heating__Hot_Water_Store_Heat_Loss" localSheetId="4">XMLSchema_Info!$249:$249</definedName>
    <definedName name="XMLSchema__SAP_Property_Details__SAP_Heating__Hot_Water_Store_Heat_Loss_Source" localSheetId="4">XMLSchema_Info!$248:$248</definedName>
    <definedName name="XMLSchema__SAP_Property_Details__SAP_Heating__Hot_Water_Store_Heat_Transfer_Area" localSheetId="4">XMLSchema_Info!$247:$247</definedName>
    <definedName name="XMLSchema__SAP_Property_Details__SAP_Heating__Hot_Water_Store_Installer_Engineer_Registration" localSheetId="4">XMLSchema_Info!$245:$245</definedName>
    <definedName name="XMLSchema__SAP_Property_Details__SAP_Heating__Hot_Water_Store_Insulation_Thickness" localSheetId="4">XMLSchema_Info!$251:$251</definedName>
    <definedName name="XMLSchema__SAP_Property_Details__SAP_Heating__Hot_Water_Store_Insulation_Type" localSheetId="4">XMLSchema_Info!$250:$250</definedName>
    <definedName name="XMLSchema__SAP_Property_Details__SAP_Heating__Hot_Water_Store_Manufacturer" localSheetId="4">XMLSchema_Info!$242:$242</definedName>
    <definedName name="XMLSchema__SAP_Property_Details__SAP_Heating__Hot_Water_Store_Model" localSheetId="4">XMLSchema_Info!$243:$243</definedName>
    <definedName name="XMLSchema__SAP_Property_Details__SAP_Heating__Hot_Water_Store_Size" localSheetId="4">XMLSchema_Info!$246:$246</definedName>
    <definedName name="XMLSchema__SAP_Property_Details__SAP_Heating__Immersion_Heating_Type" localSheetId="4">XMLSchema_Info!$237:$237</definedName>
    <definedName name="XMLSchema__SAP_Property_Details__SAP_Heating__Instantaneous_WWHRS" localSheetId="4">XMLSchema_Info!$397:$397</definedName>
    <definedName name="XMLSchema__SAP_Property_Details__SAP_Heating__Is_Cylinder_In_Heated_Space" localSheetId="4">XMLSchema_Info!$255:$255</definedName>
    <definedName name="XMLSchema__SAP_Property_Details__SAP_Heating__Is_Heat_Pump_Assisted_By_Immersion" localSheetId="4">XMLSchema_Info!$238:$238</definedName>
    <definedName name="XMLSchema__SAP_Property_Details__SAP_Heating__Is_Heat_Pump_Installed_To_MIS" localSheetId="4">XMLSchema_Info!$239:$239</definedName>
    <definedName name="XMLSchema__SAP_Property_Details__SAP_Heating__Is_Hot_Water_Separately_Timed" localSheetId="4">XMLSchema_Info!$256:$256</definedName>
    <definedName name="XMLSchema__SAP_Property_Details__SAP_Heating__Is_Immersion_For_Summer_Use" localSheetId="4">XMLSchema_Info!$240:$240</definedName>
    <definedName name="XMLSchema__SAP_Property_Details__SAP_Heating__Is_Secondary_Heating_HETAS_Approved" localSheetId="4">XMLSchema_Info!$241:$241</definedName>
    <definedName name="XMLSchema__SAP_Property_Details__SAP_Heating__Is_Thermal_Store_Near_Boiler" localSheetId="4">XMLSchema_Info!$252:$252</definedName>
    <definedName name="XMLSchema__SAP_Property_Details__SAP_Heating__Is_Thermal_Store_Or_CPSU_In_Airing_Cupboard" localSheetId="4">XMLSchema_Info!$253:$253</definedName>
    <definedName name="XMLSchema__SAP_Property_Details__SAP_Heating__Main_Heating_Details" localSheetId="4">XMLSchema_Info!$285:$285</definedName>
    <definedName name="XMLSchema__SAP_Property_Details__SAP_Heating__Main_Heating_Systems_Interaction" localSheetId="4">XMLSchema_Info!$370:$370</definedName>
    <definedName name="XMLSchema__SAP_Property_Details__SAP_Heating__Number_Baths" localSheetId="4">XMLSchema_Info!$418:$418</definedName>
    <definedName name="XMLSchema__SAP_Property_Details__SAP_Heating__Number_Baths_WWHRS" localSheetId="4">XMLSchema_Info!$419:$419</definedName>
    <definedName name="XMLSchema__SAP_Property_Details__SAP_Heating__Primary_Pipework_Insulation" localSheetId="4">XMLSchema_Info!$375:$375</definedName>
    <definedName name="XMLSchema__SAP_Property_Details__SAP_Heating__SAP_Community_Heating_Systems" localSheetId="4">XMLSchema_Info!$259:$259</definedName>
    <definedName name="XMLSchema__SAP_Property_Details__SAP_Heating__SAP_Heating_Design_Water_Use" localSheetId="4">XMLSchema_Info!$369:$369</definedName>
    <definedName name="XMLSchema__SAP_Property_Details__SAP_Heating__Secondary_Fuel_Type" localSheetId="4">XMLSchema_Info!$232:$232</definedName>
    <definedName name="XMLSchema__SAP_Property_Details__SAP_Heating__Secondary_Heating_Category" localSheetId="4">XMLSchema_Info!$226:$226</definedName>
    <definedName name="XMLSchema__SAP_Property_Details__SAP_Heating__Secondary_Heating_Code" localSheetId="4">XMLSchema_Info!$231:$231</definedName>
    <definedName name="XMLSchema__SAP_Property_Details__SAP_Heating__Secondary_Heating_Commisioning_Certificate" localSheetId="4">XMLSchema_Info!$229:$229</definedName>
    <definedName name="XMLSchema__SAP_Property_Details__SAP_Heating__Secondary_Heating_Data_Source" localSheetId="4">XMLSchema_Info!$227:$227</definedName>
    <definedName name="XMLSchema__SAP_Property_Details__SAP_Heating__Secondary_Heating_Declared_Values" localSheetId="4">XMLSchema_Info!$371:$371</definedName>
    <definedName name="XMLSchema__SAP_Property_Details__SAP_Heating__Secondary_Heating_Efficiency" localSheetId="4">XMLSchema_Info!$228:$228</definedName>
    <definedName name="XMLSchema__SAP_Property_Details__SAP_Heating__Secondary_Heating_Flue_Type" localSheetId="4">XMLSchema_Info!$234:$234</definedName>
    <definedName name="XMLSchema__SAP_Property_Details__SAP_Heating__Secondary_Heating_Installation_Engineer" localSheetId="4">XMLSchema_Info!$230:$230</definedName>
    <definedName name="XMLSchema__SAP_Property_Details__SAP_Heating__Secondary_Heating_PCDF_Fuel_Index" localSheetId="4">XMLSchema_Info!$233:$233</definedName>
    <definedName name="XMLSchema__SAP_Property_Details__SAP_Heating__Shower_Outlets" localSheetId="4">XMLSchema_Info!$412:$412</definedName>
    <definedName name="XMLSchema__SAP_Property_Details__SAP_Heating__Solar_Heating_Details" localSheetId="4">XMLSchema_Info!$376:$376</definedName>
    <definedName name="XMLSchema__SAP_Property_Details__SAP_Heating__Storage_WWHRS" localSheetId="4">XMLSchema_Info!$406:$406</definedName>
    <definedName name="XMLSchema__SAP_Property_Details__SAP_Heating__Thermal_Store" localSheetId="4">XMLSchema_Info!$235:$235</definedName>
    <definedName name="XMLSchema__SAP_Property_Details__SAP_Heating__Water_Fuel_Type" localSheetId="4">XMLSchema_Info!$224:$224</definedName>
    <definedName name="XMLSchema__SAP_Property_Details__SAP_Heating__Water_Heating_Code" localSheetId="4">XMLSchema_Info!$223:$223</definedName>
    <definedName name="XMLSchema__SAP_Property_Details__SAP_Lighting__Fixed_Lights" localSheetId="4">XMLSchema_Info!$561:$561</definedName>
    <definedName name="XMLSchema__SAP_Property_Details__SAP_Opening_Types__SAP_Opening_Type" localSheetId="4">XMLSchema_Info!$500:$500</definedName>
    <definedName name="XMLSchema__SAP_Property_Details__SAP_Special_Features__SAP_Special_Feature" localSheetId="4">XMLSchema_Info!$572:$572</definedName>
    <definedName name="XMLSchema__SAP_Property_Details__SAP_Ventilation__Air_Permeability" localSheetId="4">XMLSchema_Info!$524:$524</definedName>
    <definedName name="XMLSchema__SAP_Property_Details__SAP_Ventilation__Blocked_Chimneys_Count" localSheetId="4">XMLSchema_Info!$519:$519</definedName>
    <definedName name="XMLSchema__SAP_Property_Details__SAP_Ventilation__Boilers_Flues_Count" localSheetId="4">XMLSchema_Info!$516:$516</definedName>
    <definedName name="XMLSchema__SAP_Property_Details__SAP_Ventilation__Closed_Flues_Count" localSheetId="4">XMLSchema_Info!$514:$514</definedName>
    <definedName name="XMLSchema__SAP_Property_Details__SAP_Ventilation__DraughtStripping" localSheetId="4">XMLSchema_Info!$528:$528</definedName>
    <definedName name="XMLSchema__SAP_Property_Details__SAP_Ventilation__Extract_Fans_Count" localSheetId="4">XMLSchema_Info!$556:$556</definedName>
    <definedName name="XMLSchema__SAP_Property_Details__SAP_Ventilation__Fans_Vents_Count" localSheetId="4">XMLSchema_Info!$520:$520</definedName>
    <definedName name="XMLSchema__SAP_Property_Details__SAP_Ventilation__Flueless_Gas_Fires_Count" localSheetId="4">XMLSchema_Info!$521:$521</definedName>
    <definedName name="XMLSchema__SAP_Property_Details__SAP_Ventilation__Ground_Floor_Type" localSheetId="4">XMLSchema_Info!$525:$525</definedName>
    <definedName name="XMLSchema__SAP_Property_Details__SAP_Ventilation__Has_Draught_Lobby" localSheetId="4">XMLSchema_Info!$527:$527</definedName>
    <definedName name="XMLSchema__SAP_Property_Details__SAP_Ventilation__Is_Mechanical_Vent_Approved_Installer_Scheme" localSheetId="4">XMLSchema_Info!$558:$558</definedName>
    <definedName name="XMLSchema__SAP_Property_Details__SAP_Ventilation__Kitchen_Duct_Fans_Count" localSheetId="4">XMLSchema_Info!$548:$548</definedName>
    <definedName name="XMLSchema__SAP_Property_Details__SAP_Ventilation__Kitchen_Duct_Fans_Specific_Power" localSheetId="4">XMLSchema_Info!$549:$549</definedName>
    <definedName name="XMLSchema__SAP_Property_Details__SAP_Ventilation__Kitchen_Room_Fans_Count" localSheetId="4">XMLSchema_Info!$544:$544</definedName>
    <definedName name="XMLSchema__SAP_Property_Details__SAP_Ventilation__Kitchen_Room_Fans_Specific_Power" localSheetId="4">XMLSchema_Info!$545:$545</definedName>
    <definedName name="XMLSchema__SAP_Property_Details__SAP_Ventilation__Kitchen_Wall_Fans_Count" localSheetId="4">XMLSchema_Info!$552:$552</definedName>
    <definedName name="XMLSchema__SAP_Property_Details__SAP_Ventilation__Kitchen_Wall_Fans_Specific_Power" localSheetId="4">XMLSchema_Info!$553:$553</definedName>
    <definedName name="XMLSchema__SAP_Property_Details__SAP_Ventilation__Mechanical_Vent_Commissioning_Certificate_Number" localSheetId="4">XMLSchema_Info!$533:$533</definedName>
    <definedName name="XMLSchema__SAP_Property_Details__SAP_Ventilation__Mechanical_Vent_Duct_Insulation" localSheetId="4">XMLSchema_Info!$540:$540</definedName>
    <definedName name="XMLSchema__SAP_Property_Details__SAP_Ventilation__Mechanical_Vent_Duct_Insulation_Level" localSheetId="4">XMLSchema_Info!$541:$541</definedName>
    <definedName name="XMLSchema__SAP_Property_Details__SAP_Ventilation__Mechanical_Vent_Duct_Placement" localSheetId="4">XMLSchema_Info!$542:$542</definedName>
    <definedName name="XMLSchema__SAP_Property_Details__SAP_Ventilation__Mechanical_Vent_Duct_Type" localSheetId="4">XMLSchema_Info!$539:$539</definedName>
    <definedName name="XMLSchema__SAP_Property_Details__SAP_Ventilation__Mechanical_Vent_Ducts_Index_Number" localSheetId="4">XMLSchema_Info!$559:$559</definedName>
    <definedName name="XMLSchema__SAP_Property_Details__SAP_Ventilation__Mechanical_Vent_Heat_Recovery_Efficiency" localSheetId="4">XMLSchema_Info!$538:$538</definedName>
    <definedName name="XMLSchema__SAP_Property_Details__SAP_Ventilation__Mechanical_Vent_Installation_Engineer" localSheetId="4">XMLSchema_Info!$534:$534</definedName>
    <definedName name="XMLSchema__SAP_Property_Details__SAP_Ventilation__Mechanical_Vent_Measured_Installation" localSheetId="4">XMLSchema_Info!$543:$543</definedName>
    <definedName name="XMLSchema__SAP_Property_Details__SAP_Ventilation__Mechanical_Vent_Specific_Fan_Power" localSheetId="4">XMLSchema_Info!$537:$537</definedName>
    <definedName name="XMLSchema__SAP_Property_Details__SAP_Ventilation__Mechanical_Vent_System_Index_Number" localSheetId="4">XMLSchema_Info!$532:$532</definedName>
    <definedName name="XMLSchema__SAP_Property_Details__SAP_Ventilation__Mechanical_Vent_System_Make_Model" localSheetId="4">XMLSchema_Info!$535:$535</definedName>
    <definedName name="XMLSchema__SAP_Property_Details__SAP_Ventilation__Mechanical_Ventilation_Data_Source" localSheetId="4">XMLSchema_Info!$531:$531</definedName>
    <definedName name="XMLSchema__SAP_Property_Details__SAP_Ventilation__Non_Kitchen_Duct_Fans_Count" localSheetId="4">XMLSchema_Info!$550:$550</definedName>
    <definedName name="XMLSchema__SAP_Property_Details__SAP_Ventilation__Non_Kitchen_Duct_Fans_Specific_Power" localSheetId="4">XMLSchema_Info!$551:$551</definedName>
    <definedName name="XMLSchema__SAP_Property_Details__SAP_Ventilation__Non_Kitchen_Room_Fans_Count" localSheetId="4">XMLSchema_Info!$546:$546</definedName>
    <definedName name="XMLSchema__SAP_Property_Details__SAP_Ventilation__Non_Kitchen_Room_Fans_Specific_Power" localSheetId="4">XMLSchema_Info!$547:$547</definedName>
    <definedName name="XMLSchema__SAP_Property_Details__SAP_Ventilation__Non_Kitchen_Wall_Fans_Count" localSheetId="4">XMLSchema_Info!$554:$554</definedName>
    <definedName name="XMLSchema__SAP_Property_Details__SAP_Ventilation__Non_Kitchen_Wall_Fans_Specific_Power" localSheetId="4">XMLSchema_Info!$555:$555</definedName>
    <definedName name="XMLSchema__SAP_Property_Details__SAP_Ventilation__Open_Chimneys_Count" localSheetId="4">XMLSchema_Info!$518:$518</definedName>
    <definedName name="XMLSchema__SAP_Property_Details__SAP_Ventilation__Open_Flues_Count" localSheetId="4">XMLSchema_Info!$515:$515</definedName>
    <definedName name="XMLSchema__SAP_Property_Details__SAP_Ventilation__Other_Flues_Count" localSheetId="4">XMLSchema_Info!$517:$517</definedName>
    <definedName name="XMLSchema__SAP_Property_Details__SAP_Ventilation__Pressure_Test" localSheetId="4">XMLSchema_Info!$522:$522</definedName>
    <definedName name="XMLSchema__SAP_Property_Details__SAP_Ventilation__Pressure_Test_Certificate_Number" localSheetId="4">XMLSchema_Info!$523:$523</definedName>
    <definedName name="XMLSchema__SAP_Property_Details__SAP_Ventilation__PSV_Count" localSheetId="4">XMLSchema_Info!$557:$557</definedName>
    <definedName name="XMLSchema__SAP_Property_Details__SAP_Ventilation__Sheltered_Sides_Count" localSheetId="4">XMLSchema_Info!$529:$529</definedName>
    <definedName name="XMLSchema__SAP_Property_Details__SAP_Ventilation__Ventilation_Type" localSheetId="4">XMLSchema_Info!$530:$530</definedName>
    <definedName name="XMLSchema__SAP_Property_Details__SAP_Ventilation__Wall_Type" localSheetId="4">XMLSchema_Info!$526:$526</definedName>
    <definedName name="XMLSchema__SAP_Property_Details__SAP_Ventilation__Wet_Rooms_Count" localSheetId="4">XMLSchema_Info!$536:$536</definedName>
    <definedName name="XMLSchema__SAP_Report__Energy_Assessment__Addendum" localSheetId="4">XMLSchema_Info!$187:$187</definedName>
    <definedName name="XMLSchema__SAP_Report__Energy_Assessment__Alternative_Improvements" localSheetId="4">XMLSchema_Info!$171:$171</definedName>
    <definedName name="XMLSchema__SAP_Report__Energy_Assessment__Assessment_Date" localSheetId="4">XMLSchema_Info!$60:$60</definedName>
    <definedName name="XMLSchema__SAP_Report__Energy_Assessment__Energy_Use" localSheetId="4">XMLSchema_Info!$110:$110</definedName>
    <definedName name="XMLSchema__SAP_Report__Energy_Assessment__Green_Deal_Package" localSheetId="4">XMLSchema_Info!$164:$164</definedName>
    <definedName name="XMLSchema__SAP_Report__Energy_Assessment__LZC_Energy_Sources" localSheetId="4">XMLSchema_Info!$149:$149</definedName>
    <definedName name="XMLSchema__SAP_Report__Energy_Assessment__Property_Summary" localSheetId="4">XMLSchema_Info!$61:$61</definedName>
    <definedName name="XMLSchema__SAP_Report__Energy_Assessment__Renewable_Heat_Incentive" localSheetId="4">XMLSchema_Info!$151:$151</definedName>
    <definedName name="XMLSchema__SAP_Report__Energy_Assessment__Suggested_Improvements" localSheetId="4">XMLSchema_Info!$133:$133</definedName>
    <definedName name="XMLSchema__SAP_Report__Insurance_Details__Effective_Date" localSheetId="4">XMLSchema_Info!$596:$596</definedName>
    <definedName name="XMLSchema__SAP_Report__Insurance_Details__Expiry_Date" localSheetId="4">XMLSchema_Info!$597:$597</definedName>
    <definedName name="XMLSchema__SAP_Report__Insurance_Details__Insurer" localSheetId="4">XMLSchema_Info!$594:$594</definedName>
    <definedName name="XMLSchema__SAP_Report__Insurance_Details__PI_Limit" localSheetId="4">XMLSchema_Info!$598:$598</definedName>
    <definedName name="XMLSchema__SAP_Report__Insurance_Details__Policy_No" localSheetId="4">XMLSchema_Info!$595:$595</definedName>
    <definedName name="XMLSchema__SAP_Report__Report_Header__Completion_Date" localSheetId="4">XMLSchema_Info!$17:$17</definedName>
    <definedName name="XMLSchema__SAP_Report__Report_Header__Country_Code" localSheetId="4">XMLSchema_Info!$55:$55</definedName>
    <definedName name="XMLSchema__SAP_Report__Report_Header__Home_Inspector" localSheetId="4">XMLSchema_Info!$25:$25</definedName>
    <definedName name="XMLSchema__SAP_Report__Report_Header__Inspection_Date" localSheetId="4">XMLSchema_Info!$15:$15</definedName>
    <definedName name="XMLSchema__SAP_Report__Report_Header__Language_Code" localSheetId="4">XMLSchema_Info!$20:$20</definedName>
    <definedName name="XMLSchema__SAP_Report__Report_Header__Property" localSheetId="4">XMLSchema_Info!$44:$44</definedName>
    <definedName name="XMLSchema__SAP_Report__Report_Header__Property_Type" localSheetId="4">XMLSchema_Info!$24:$24</definedName>
    <definedName name="XMLSchema__SAP_Report__Report_Header__Region_Code" localSheetId="4">XMLSchema_Info!$54:$54</definedName>
    <definedName name="XMLSchema__SAP_Report__Report_Header__Registration_Date" localSheetId="4">XMLSchema_Info!$18:$18</definedName>
    <definedName name="XMLSchema__SAP_Report__Report_Header__Related_Party_Disclosure" localSheetId="4">XMLSchema_Info!$56:$56</definedName>
    <definedName name="XMLSchema__SAP_Report__Report_Header__Report_Type" localSheetId="4">XMLSchema_Info!$16:$16</definedName>
    <definedName name="XMLSchema__SAP_Report__Report_Header__RRN" localSheetId="4">XMLSchema_Info!$14:$14</definedName>
    <definedName name="XMLSchema__SAP_Report__Report_Header__Seller_Commission_Report" localSheetId="4">XMLSchema_Info!$23:$23</definedName>
    <definedName name="XMLSchema__SAP_Report__Report_Header__Status" localSheetId="4">XMLSchema_Info!$19:$19</definedName>
    <definedName name="XMLSchema__SAP_Report__Report_Header__Tenure" localSheetId="4">XMLSchema_Info!$21:$21</definedName>
    <definedName name="XMLSchema__SAP_Report__Report_Header__Transaction_Type" localSheetId="4">XMLSchema_Info!$22:$22</definedName>
    <definedName name="XMLSchema__SAP_Report__SAP10_Data__Data_Type" localSheetId="4">XMLSchema_Info!$195:$195</definedName>
    <definedName name="XMLSchema__SAP_Report__SAP10_Data__SAP_Property_Details" localSheetId="4">XMLSchema_Info!$196:$196</definedName>
    <definedName name="XMLSchema__SAP_Roofs__SAP_Roof__Description" localSheetId="4">XMLSchema_Info!$463:$463</definedName>
    <definedName name="XMLSchema__SAP_Roofs__SAP_Roof__Kappa_Value" localSheetId="4">XMLSchema_Info!$467:$467</definedName>
    <definedName name="XMLSchema__SAP_Roofs__SAP_Roof__Name" localSheetId="4">XMLSchema_Info!$462:$462</definedName>
    <definedName name="XMLSchema__SAP_Roofs__SAP_Roof__Roof_Type" localSheetId="4">XMLSchema_Info!$464:$464</definedName>
    <definedName name="XMLSchema__SAP_Roofs__SAP_Roof__Total_Roof_Area" localSheetId="4">XMLSchema_Info!$465:$465</definedName>
    <definedName name="XMLSchema__SAP_Roofs__SAP_Roof__U_Value" localSheetId="4">XMLSchema_Info!$466:$466</definedName>
    <definedName name="XMLSchema__SAP_Special_Feature__Emissions_Feature__Emissions_Created" localSheetId="4">XMLSchema_Info!$585:$585</definedName>
    <definedName name="XMLSchema__SAP_Special_Feature__Emissions_Feature__Emissions_Saved" localSheetId="4">XMLSchema_Info!$584:$584</definedName>
    <definedName name="XMLSchema__SAP_Special_Feature__Energy_Feature__Air_Change_Rates" localSheetId="4">XMLSchema_Info!$579:$579</definedName>
    <definedName name="XMLSchema__SAP_Special_Feature__Energy_Feature__Energy_Saved_Or_Generated" localSheetId="4">XMLSchema_Info!$575:$575</definedName>
    <definedName name="XMLSchema__SAP_Special_Feature__Energy_Feature__Energy_Used" localSheetId="4">XMLSchema_Info!$577:$577</definedName>
    <definedName name="XMLSchema__SAP_Special_Feature__Energy_Feature__Energy_Used_Fuel" localSheetId="4">XMLSchema_Info!$578:$578</definedName>
    <definedName name="XMLSchema__SAP_Special_Feature__Energy_Feature__Saved_Or_Generated_Fuel" localSheetId="4">XMLSchema_Info!$576:$576</definedName>
    <definedName name="XMLSchema__SAP_Special_Features__SAP_Special_Feature__Description" localSheetId="4">XMLSchema_Info!$573:$573</definedName>
    <definedName name="XMLSchema__SAP_Special_Features__SAP_Special_Feature__Emissions_Feature" localSheetId="4">XMLSchema_Info!$583:$583</definedName>
    <definedName name="XMLSchema__SAP_Special_Features__SAP_Special_Feature__Energy_Feature" localSheetId="4">XMLSchema_Info!$574:$574</definedName>
    <definedName name="XMLSchema__SAP_Thermal_Bridges__SAP_Thermal_Bridge__Length" localSheetId="4">XMLSchema_Info!$486:$486</definedName>
    <definedName name="XMLSchema__SAP_Thermal_Bridges__SAP_Thermal_Bridge__Psi_Value" localSheetId="4">XMLSchema_Info!$487:$487</definedName>
    <definedName name="XMLSchema__SAP_Thermal_Bridges__SAP_Thermal_Bridge__Psi_Value_Calculation_Reference" localSheetId="4">XMLSchema_Info!$489:$489</definedName>
    <definedName name="XMLSchema__SAP_Thermal_Bridges__SAP_Thermal_Bridge__Psi_Value_Source" localSheetId="4">XMLSchema_Info!$488:$488</definedName>
    <definedName name="XMLSchema__SAP_Thermal_Bridges__SAP_Thermal_Bridge__Thermal_Bridge_Type" localSheetId="4">XMLSchema_Info!$485:$485</definedName>
    <definedName name="XMLSchema__SAP_Walls__SAP_Wall__Description" localSheetId="4">XMLSchema_Info!$493:$493</definedName>
    <definedName name="XMLSchema__SAP_Walls__SAP_Wall__Is_Curtain_Walling" localSheetId="4">XMLSchema_Info!$497:$497</definedName>
    <definedName name="XMLSchema__SAP_Walls__SAP_Wall__Kappa_Value" localSheetId="4">XMLSchema_Info!$498:$498</definedName>
    <definedName name="XMLSchema__SAP_Walls__SAP_Wall__Name" localSheetId="4">XMLSchema_Info!$492:$492</definedName>
    <definedName name="XMLSchema__SAP_Walls__SAP_Wall__Total_Wall_Area" localSheetId="4">XMLSchema_Info!$495:$495</definedName>
    <definedName name="XMLSchema__SAP_Walls__SAP_Wall__U_Value" localSheetId="4">XMLSchema_Info!$496:$496</definedName>
    <definedName name="XMLSchema__SAP_Walls__SAP_Wall__Wall_Type" localSheetId="4">XMLSchema_Info!$494:$494</definedName>
    <definedName name="XMLSchema__SAP10_Data__SAP_Property_Details__Additional_Allowable_Electricity_Generation" localSheetId="4">XMLSchema_Info!$214:$214</definedName>
    <definedName name="XMLSchema__SAP10_Data__SAP_Property_Details__Battery_Capacity" localSheetId="4">XMLSchema_Info!$220:$220</definedName>
    <definedName name="XMLSchema__SAP10_Data__SAP_Property_Details__Built_Form" localSheetId="4">XMLSchema_Info!$198:$198</definedName>
    <definedName name="XMLSchema__SAP10_Data__SAP_Property_Details__Cold_Water_Source" localSheetId="4">XMLSchema_Info!$211:$211</definedName>
    <definedName name="XMLSchema__SAP10_Data__SAP_Property_Details__Conservatory_Type" localSheetId="4">XMLSchema_Info!$202:$202</definedName>
    <definedName name="XMLSchema__SAP10_Data__SAP_Property_Details__Design_Water_Use" localSheetId="4">XMLSchema_Info!$586:$586</definedName>
    <definedName name="XMLSchema__SAP10_Data__SAP_Property_Details__Electricity_Smart_Meter_Present" localSheetId="4">XMLSchema_Info!$216:$216</definedName>
    <definedName name="XMLSchema__SAP10_Data__SAP_Property_Details__Energy_Saved_Or_Generated" localSheetId="4">XMLSchema_Info!$206:$206</definedName>
    <definedName name="XMLSchema__SAP10_Data__SAP_Property_Details__Energy_Used" localSheetId="4">XMLSchema_Info!$208:$208</definedName>
    <definedName name="XMLSchema__SAP10_Data__SAP_Property_Details__Energy_Used_Fuel" localSheetId="4">XMLSchema_Info!$209:$209</definedName>
    <definedName name="XMLSchema__SAP10_Data__SAP_Property_Details__Gas_Smart_Meter_Present" localSheetId="4">XMLSchema_Info!$215:$215</definedName>
    <definedName name="XMLSchema__SAP10_Data__SAP_Property_Details__Has_Special_Feature" localSheetId="4">XMLSchema_Info!$204:$204</definedName>
    <definedName name="XMLSchema__SAP10_Data__SAP_Property_Details__Is_Dwelling_Export_Capable" localSheetId="4">XMLSchema_Info!$217:$217</definedName>
    <definedName name="XMLSchema__SAP10_Data__SAP_Property_Details__Is_In_Smoke_Control_Area" localSheetId="4">XMLSchema_Info!$210:$210</definedName>
    <definedName name="XMLSchema__SAP10_Data__SAP_Property_Details__Is_Wind_Turbine_Connected_To_Dwelling_Meter" localSheetId="4">XMLSchema_Info!$221:$221</definedName>
    <definedName name="XMLSchema__SAP10_Data__SAP_Property_Details__Living_Area" localSheetId="4">XMLSchema_Info!$199:$199</definedName>
    <definedName name="XMLSchema__SAP10_Data__SAP_Property_Details__Lowest_Storey_Area" localSheetId="4">XMLSchema_Info!$200:$200</definedName>
    <definedName name="XMLSchema__SAP10_Data__SAP_Property_Details__Orientation" localSheetId="4">XMLSchema_Info!$201:$201</definedName>
    <definedName name="XMLSchema__SAP10_Data__SAP_Property_Details__Property_Type" localSheetId="4">XMLSchema_Info!$197:$197</definedName>
    <definedName name="XMLSchema__SAP10_Data__SAP_Property_Details__PV_Connection" localSheetId="4">XMLSchema_Info!$218:$218</definedName>
    <definedName name="XMLSchema__SAP10_Data__SAP_Property_Details__PV_Diverter" localSheetId="4">XMLSchema_Info!$219:$219</definedName>
    <definedName name="XMLSchema__SAP10_Data__SAP_Property_Details__SAP_Building_Parts" localSheetId="4">XMLSchema_Info!$445:$445</definedName>
    <definedName name="XMLSchema__SAP10_Data__SAP_Property_Details__SAP_Cooling" localSheetId="4">XMLSchema_Info!$587:$587</definedName>
    <definedName name="XMLSchema__SAP10_Data__SAP_Property_Details__SAP_Deselected_Improvements" localSheetId="4">XMLSchema_Info!$566:$566</definedName>
    <definedName name="XMLSchema__SAP10_Data__SAP_Property_Details__SAP_Energy_Source" localSheetId="4">XMLSchema_Info!$420:$420</definedName>
    <definedName name="XMLSchema__SAP10_Data__SAP_Property_Details__SAP_Flat_Details" localSheetId="4">XMLSchema_Info!$568:$568</definedName>
    <definedName name="XMLSchema__SAP10_Data__SAP_Property_Details__SAP_Heating" localSheetId="4">XMLSchema_Info!$222:$222</definedName>
    <definedName name="XMLSchema__SAP10_Data__SAP_Property_Details__SAP_Lighting" localSheetId="4">XMLSchema_Info!$560:$560</definedName>
    <definedName name="XMLSchema__SAP10_Data__SAP_Property_Details__SAP_Opening_Types" localSheetId="4">XMLSchema_Info!$499:$499</definedName>
    <definedName name="XMLSchema__SAP10_Data__SAP_Property_Details__SAP_Special_Features" localSheetId="4">XMLSchema_Info!$571:$571</definedName>
    <definedName name="XMLSchema__SAP10_Data__SAP_Property_Details__SAP_Ventilation" localSheetId="4">XMLSchema_Info!$513:$513</definedName>
    <definedName name="XMLSchema__SAP10_Data__SAP_Property_Details__Saved_Or_Generated_Fuel" localSheetId="4">XMLSchema_Info!$207:$207</definedName>
    <definedName name="XMLSchema__SAP10_Data__SAP_Property_Details__Special_Feature_Description" localSheetId="4">XMLSchema_Info!$205:$205</definedName>
    <definedName name="XMLSchema__SAP10_Data__SAP_Property_Details__Terrain_Type" localSheetId="4">XMLSchema_Info!$203:$203</definedName>
    <definedName name="XMLSchema__SAP10_Data__SAP_Property_Details__Thermal_Mass_Parameter" localSheetId="4">XMLSchema_Info!$213:$213</definedName>
    <definedName name="XMLSchema__SAP10_Data__SAP_Property_Details__Windows_Overshading" localSheetId="4">XMLSchema_Info!$212:$212</definedName>
    <definedName name="XMLSchema__Shower_Outlets__Shower_Outlet__Shower_Flow_Rate" localSheetId="4">XMLSchema_Info!$415:$415</definedName>
    <definedName name="XMLSchema__Shower_Outlets__Shower_Outlet__Shower_Outlet_Type" localSheetId="4">XMLSchema_Info!$414:$414</definedName>
    <definedName name="XMLSchema__Shower_Outlets__Shower_Outlet__Shower_Power" localSheetId="4">XMLSchema_Info!$416:$416</definedName>
    <definedName name="XMLSchema__Shower_Outlets__Shower_Outlet__Shower_WWHRS" localSheetId="4">XMLSchema_Info!$417:$417</definedName>
    <definedName name="XMLSchema__Storage_Heaters__Storage_Heater__High_Heat_Retention" localSheetId="4">XMLSchema_Info!$360:$360</definedName>
    <definedName name="XMLSchema__Storage_Heaters__Storage_Heater__Index_Number" localSheetId="4">XMLSchema_Info!$359:$359</definedName>
    <definedName name="XMLSchema__Storage_Heaters__Storage_Heater__Number_Of_Heaters" localSheetId="4">XMLSchema_Info!$358:$358</definedName>
    <definedName name="XMLSchema__Suggested_Improvements__Improvement__Energy_Performance_Rating" localSheetId="4">XMLSchema_Info!$139:$139</definedName>
    <definedName name="XMLSchema__Suggested_Improvements__Improvement__Environmental_Impact_Rating" localSheetId="4">XMLSchema_Info!$140:$140</definedName>
    <definedName name="XMLSchema__Suggested_Improvements__Improvement__Green_Deal_Category" localSheetId="4">XMLSchema_Info!$148:$148</definedName>
    <definedName name="XMLSchema__Suggested_Improvements__Improvement__Improvement_Category" localSheetId="4">XMLSchema_Info!$136:$136</definedName>
    <definedName name="XMLSchema__Suggested_Improvements__Improvement__Improvement_Details" localSheetId="4">XMLSchema_Info!$141:$141</definedName>
    <definedName name="XMLSchema__Suggested_Improvements__Improvement__Improvement_Type" localSheetId="4">XMLSchema_Info!$137:$137</definedName>
    <definedName name="XMLSchema__Suggested_Improvements__Improvement__Indicative_Cost" localSheetId="4">XMLSchema_Info!$147:$147</definedName>
    <definedName name="XMLSchema__Suggested_Improvements__Improvement__Sequence" localSheetId="4">XMLSchema_Info!$135:$135</definedName>
    <definedName name="XMLSchema__Suggested_Improvements__Improvement__Typical_Saving" localSheetId="4">XMLSchema_Info!$138:$138</definedName>
    <definedName name="XMLSchema__Wind_Turbines__Wind_Turbine__Wind_Turbine_Certificate" localSheetId="4">XMLSchema_Info!$434:$434</definedName>
    <definedName name="XMLSchema__Wind_Turbines__Wind_Turbine__Wind_Turbine_Hub_Height" localSheetId="4">XMLSchema_Info!$436:$436</definedName>
    <definedName name="XMLSchema__Wind_Turbines__Wind_Turbine__Wind_Turbine_Manufacturer_Name" localSheetId="4">XMLSchema_Info!$433:$433</definedName>
    <definedName name="XMLSchema__Wind_Turbines__Wind_Turbine__Wind_Turbine_Rotor_Diameter" localSheetId="4">XMLSchema_Info!$435:$435</definedName>
    <definedName name="year">SAP10_Inputs!$N$4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Z40" i="9" l="1"/>
  <c r="GZ43" i="9"/>
  <c r="GZ41" i="9"/>
  <c r="GR79" i="9"/>
  <c r="GR78" i="9"/>
  <c r="GR77" i="9"/>
  <c r="GR76" i="9"/>
  <c r="GR75" i="9"/>
  <c r="GR74" i="9"/>
  <c r="GQ51" i="9"/>
  <c r="GP51" i="9"/>
  <c r="GO51" i="9"/>
  <c r="GN51" i="9"/>
  <c r="GM51" i="9"/>
  <c r="GL51" i="9"/>
  <c r="GK51" i="9"/>
  <c r="GJ51" i="9"/>
  <c r="GI51" i="9"/>
  <c r="GH51" i="9"/>
  <c r="GG51" i="9"/>
  <c r="GF51" i="9"/>
  <c r="GQ35" i="9"/>
  <c r="GP35" i="9"/>
  <c r="GO35" i="9"/>
  <c r="GJ35" i="9"/>
  <c r="GI35" i="9"/>
  <c r="GH35" i="9"/>
  <c r="GG35" i="9"/>
  <c r="GF35" i="9"/>
</calcChain>
</file>

<file path=xl/sharedStrings.xml><?xml version="1.0" encoding="utf-8"?>
<sst xmlns="http://schemas.openxmlformats.org/spreadsheetml/2006/main" count="6391" uniqueCount="2753">
  <si>
    <t>&lt;/SAP-Report&gt;</t>
  </si>
  <si>
    <t>Name</t>
  </si>
  <si>
    <t>Data-Type</t>
  </si>
  <si>
    <t>2 - new dwelling as built</t>
  </si>
  <si>
    <t>SAP10-Data</t>
  </si>
  <si>
    <t>SAP-Property-Details</t>
  </si>
  <si>
    <t>Cold-Water-Source</t>
  </si>
  <si>
    <t>Living-Area</t>
  </si>
  <si>
    <t>Windows-Overshading</t>
  </si>
  <si>
    <t>SAP-Building-Parts</t>
  </si>
  <si>
    <t>SAP-Building-Part</t>
  </si>
  <si>
    <t>Building-Part-Number</t>
  </si>
  <si>
    <t>SAP-Floor-Dimensions</t>
  </si>
  <si>
    <t>SAP-Floor-Dimension</t>
  </si>
  <si>
    <t>Floor-Type</t>
  </si>
  <si>
    <t>Storey</t>
  </si>
  <si>
    <t>Total-Floor-Area</t>
  </si>
  <si>
    <t>Storey-Height</t>
  </si>
  <si>
    <t>Heat-Loss-Area</t>
  </si>
  <si>
    <t>SAP-Walls</t>
  </si>
  <si>
    <t>SAP-Wall</t>
  </si>
  <si>
    <t>Wall-Type</t>
  </si>
  <si>
    <t>Total-Wall-Area</t>
  </si>
  <si>
    <t>has_text_value</t>
  </si>
  <si>
    <t>data_type</t>
  </si>
  <si>
    <t>min_occurs</t>
  </si>
  <si>
    <t>max_occurs</t>
  </si>
  <si>
    <t>documentation</t>
  </si>
  <si>
    <t>SAP-Compliance-Report</t>
  </si>
  <si>
    <t xml:space="preserve"> </t>
  </si>
  <si>
    <t>SAP-Report</t>
  </si>
  <si>
    <t xml:space="preserve">The SAP report corresponding to the compliance report. </t>
  </si>
  <si>
    <t>Schema-Version-Original</t>
  </si>
  <si>
    <t>str</t>
  </si>
  <si>
    <t xml:space="preserve">The schema version that the data conformed to when it was lodged. </t>
  </si>
  <si>
    <t>Schema-Version-Current</t>
  </si>
  <si>
    <t xml:space="preserve">The schema version to which the data conforms. This node is inserted by the register when a retrieval is requested. It must not be present in a lodgement being sent to the register. </t>
  </si>
  <si>
    <t>SAP-Version</t>
  </si>
  <si>
    <t xml:space="preserve">SAP version that was used for the calculation. </t>
  </si>
  <si>
    <t>SAP-Data-Version</t>
  </si>
  <si>
    <t xml:space="preserve">Version of SAP that was used to define the input data for the calculation. </t>
  </si>
  <si>
    <t>PCDF-Revision-Number</t>
  </si>
  <si>
    <t>int</t>
  </si>
  <si>
    <t xml:space="preserve">Revision Number of the PCDF file used for the calculations. </t>
  </si>
  <si>
    <t>Calculation-Software-Name</t>
  </si>
  <si>
    <t xml:space="preserve">Name of the software used to perform the SAP calculation. </t>
  </si>
  <si>
    <t>Calculation-Software-Version</t>
  </si>
  <si>
    <t xml:space="preserve">Version of the software used to perform the SAP calculation. </t>
  </si>
  <si>
    <t>User-Interface-Name</t>
  </si>
  <si>
    <t>User-Interface-Version</t>
  </si>
  <si>
    <t>Report-Header</t>
  </si>
  <si>
    <t xml:space="preserve"> Report Header contains all the identification and searchable details for the Report.</t>
  </si>
  <si>
    <t>RRN</t>
  </si>
  <si>
    <t xml:space="preserve">Report Reference Number is the unique report Identifier that the report will be publicly known by. The RRN is allocated to the Report at the point that it is registered and will be algorithmically derived from the natural key characteristics of the Home Condition Report i.e. The Unique Property Reference Number (UPRN) and Inspection Date. </t>
  </si>
  <si>
    <t>Inspection-Date</t>
  </si>
  <si>
    <t>fromisoformat</t>
  </si>
  <si>
    <t xml:space="preserve">The date that the inspection was actually carried out by the Home Inspector. </t>
  </si>
  <si>
    <t>Report-Type</t>
  </si>
  <si>
    <t xml:space="preserve">The type of Home Inspection that was carried out. Initially the only allowed type will be a Home Condition Report inspection but this may be extended in the future to cover Energy Assessment Only inspections. </t>
  </si>
  <si>
    <t>Completion-Date</t>
  </si>
  <si>
    <t xml:space="preserve">The date that the Home Inspector completed the report. This will be after the Inspection Date but generally before the Registration Date. </t>
  </si>
  <si>
    <t>Registration-Date</t>
  </si>
  <si>
    <t xml:space="preserve">The date that the report was submitted to the HCR Registration Organisation for lodging in the HCR Register. </t>
  </si>
  <si>
    <t>Status</t>
  </si>
  <si>
    <t xml:space="preserve">The Status of the Report. A Home Condition Report can have a number of distinct states depending on whereabouts in its overall lifecycle the HCR is - see Home Condition Report Statechart for more details. </t>
  </si>
  <si>
    <t>Language-Code</t>
  </si>
  <si>
    <t xml:space="preserve">The language that the report is written in. </t>
  </si>
  <si>
    <t>Tenure</t>
  </si>
  <si>
    <t>Transaction-Type</t>
  </si>
  <si>
    <t>Seller-Commission-Report</t>
  </si>
  <si>
    <t xml:space="preserve">Indicates that the HCR was commissioned by the Seller of the Property or their Agent. This is required in order to differentiate these reports from Buyer commisioned reports which are not eligible for inclusion in a Home Information Pack </t>
  </si>
  <si>
    <t>Property-Type</t>
  </si>
  <si>
    <t xml:space="preserve">Describes the type of Property that is being inspected. This should be the same as the Property-Type recorded in the Property-Details section. </t>
  </si>
  <si>
    <t>Home-Inspector</t>
  </si>
  <si>
    <t xml:space="preserve"> A Certified Home Inspector is a person certified by a Certification Scheme - that is they exist on the Home Inspector Register - as being qualified to carry out a Home Inspection and produce a Home Condition Report. The exact criteria for fit + proper are laid down in regulations and the Business Standards and it is the responsibility of the Certification Scheme to carry out sufficient checks to ensure those criteria are adhered to. Although covered by a different regulatory regime a Home Inspector and Energy Assessor serve synonymous roles in the product of a Home Condition Report or Energy Performance Certificate respectively.</t>
  </si>
  <si>
    <t xml:space="preserve">The name by which the Home Inspector is registered. This is a structured name containing prefix, first name + surname. </t>
  </si>
  <si>
    <t>Notify-Lodgement</t>
  </si>
  <si>
    <t xml:space="preserve">Indicates whether the assessor wants to be notified that a the report has been lodged in the register </t>
  </si>
  <si>
    <t>Contact-Address</t>
  </si>
  <si>
    <t>The address that any written correspondence can be sent to. This is not the same as the Registered Address because it may, of course, be a Post Office Box. An address is composed of a number of structured elements such as Postcode, Post-Town, Street etc.</t>
  </si>
  <si>
    <t>Address-Line-1</t>
  </si>
  <si>
    <t>Address-Line-2</t>
  </si>
  <si>
    <t>Address-Line-3</t>
  </si>
  <si>
    <t>Post-Town</t>
  </si>
  <si>
    <t>Postcode</t>
  </si>
  <si>
    <t xml:space="preserve">The Postcode for the Address </t>
  </si>
  <si>
    <t>Web-Site</t>
  </si>
  <si>
    <t>E-Mail</t>
  </si>
  <si>
    <t xml:space="preserve">the E-Mail address that the Authorised User can be contacted at. </t>
  </si>
  <si>
    <t>Fax</t>
  </si>
  <si>
    <t>Telephone</t>
  </si>
  <si>
    <t>Company-Name</t>
  </si>
  <si>
    <t xml:space="preserve">The Name of the Company that the assessor is employed by. </t>
  </si>
  <si>
    <t>Scheme-Name</t>
  </si>
  <si>
    <t>Scheme-Web-Site</t>
  </si>
  <si>
    <t>Identification-Number</t>
  </si>
  <si>
    <t>Certificate-Number</t>
  </si>
  <si>
    <t xml:space="preserve">The unique identifier assigned to the assessor by the scheme by which they can be identified throughout their membership of the scheme. </t>
  </si>
  <si>
    <t>Membership-Number</t>
  </si>
  <si>
    <t xml:space="preserve">For Scottish DEAs only </t>
  </si>
  <si>
    <t>Property</t>
  </si>
  <si>
    <t xml:space="preserve"> A discrete identifiable possession, such as a piece of real-estate, to which its owner has legal title. For the Home Information Pack legislation the types of property are restricted to residential properties. It should be observed that "a property is a property is a property" and all real-estate properties, whether residential or commercial or whether being sold for the first or the nth time will have a very similar conceptual structure and similar rules and constraints. As such the broad description of a Property can be regarded as a framework, containing a set of extension points, that can be expanded as necessary to cover additional detail.</t>
  </si>
  <si>
    <t>Address</t>
  </si>
  <si>
    <t>Address for the property. An address is composed of a number of structured elements such as Postcode, Post-Town, Street etc.</t>
  </si>
  <si>
    <t>UPRN</t>
  </si>
  <si>
    <t xml:space="preserve">Unique Property Reference Number </t>
  </si>
  <si>
    <t>Site-Reference</t>
  </si>
  <si>
    <t xml:space="preserve">A site reference </t>
  </si>
  <si>
    <t>Plot-Reference</t>
  </si>
  <si>
    <t xml:space="preserve">A plot reference </t>
  </si>
  <si>
    <t>Region-Code</t>
  </si>
  <si>
    <t xml:space="preserve">Region within the UK. </t>
  </si>
  <si>
    <t>Country-Code</t>
  </si>
  <si>
    <t xml:space="preserve">Country within the UK. </t>
  </si>
  <si>
    <t>Related-Party-Disclosure</t>
  </si>
  <si>
    <t>Related-Party-Disclosure-Text</t>
  </si>
  <si>
    <t>For backward compatibility only. String value with a language code for natural-language text.</t>
  </si>
  <si>
    <t>Related-Party-Disclosure-Number</t>
  </si>
  <si>
    <t xml:space="preserve">Code indicating any potential conflicts of interest or commercial relationships with other parties. </t>
  </si>
  <si>
    <t>Energy-Assessment</t>
  </si>
  <si>
    <t xml:space="preserve"> Energy Efficiency Assessment Report is an inspection report whose purpose is to assess the energy efficiency of the inspected property and provide energy ratings for the significant heat-loss features of the property. The report also identifies a number of potential improvements that may be made to the property in order to increase the energy efficiency.</t>
  </si>
  <si>
    <t>Assessment-Date</t>
  </si>
  <si>
    <t xml:space="preserve">Date of assessment. </t>
  </si>
  <si>
    <t>Property-Summary</t>
  </si>
  <si>
    <t>Walls</t>
  </si>
  <si>
    <t>unbounded</t>
  </si>
  <si>
    <t>Description</t>
  </si>
  <si>
    <t>Overall description of the property feature String value with a language code for natural-language text.</t>
  </si>
  <si>
    <t>Energy-Efficiency-Rating</t>
  </si>
  <si>
    <t xml:space="preserve">Overall summary of the energy efficiency of the property feature. </t>
  </si>
  <si>
    <t>Environmental-Efficiency-Rating</t>
  </si>
  <si>
    <t xml:space="preserve">Summary of the environmental efficiency of the property feature </t>
  </si>
  <si>
    <t>Roof</t>
  </si>
  <si>
    <t>Floor</t>
  </si>
  <si>
    <t>Windows</t>
  </si>
  <si>
    <t>Main-Heating</t>
  </si>
  <si>
    <t>Main-Heating-Controls</t>
  </si>
  <si>
    <t>Secondary-Heating</t>
  </si>
  <si>
    <t>Hot-Water</t>
  </si>
  <si>
    <t>Lighting</t>
  </si>
  <si>
    <t>Air-Tightness</t>
  </si>
  <si>
    <t>Has-Fixed-Air-Conditioning</t>
  </si>
  <si>
    <t>bool</t>
  </si>
  <si>
    <t xml:space="preserve">Fixed air conditioning? </t>
  </si>
  <si>
    <t>Has-Hot-Water-Cylinder</t>
  </si>
  <si>
    <t xml:space="preserve">Hot water cylinder? </t>
  </si>
  <si>
    <t>Has-Heated-Separate-Conservatory</t>
  </si>
  <si>
    <t xml:space="preserve">Heated separate conservatory? </t>
  </si>
  <si>
    <t>Dwelling-Type</t>
  </si>
  <si>
    <t>Is a string such as Detached house or Top-floor flat String value with a language code for natural-language text.</t>
  </si>
  <si>
    <t xml:space="preserve">Is a number such as 125 </t>
  </si>
  <si>
    <t>Multiple-Glazed-Percentage</t>
  </si>
  <si>
    <t>float</t>
  </si>
  <si>
    <t xml:space="preserve">Fraction of windows that are multiply glazed to nearest 1%. </t>
  </si>
  <si>
    <t>Multiple-Glazed-Percentage-NR</t>
  </si>
  <si>
    <t xml:space="preserve">For backward compatibility only, do not use. </t>
  </si>
  <si>
    <t>Is-Zero-Carbon-Home</t>
  </si>
  <si>
    <t xml:space="preserve">Is dwelling a Zero Carbon Home? </t>
  </si>
  <si>
    <t>Energy-Use</t>
  </si>
  <si>
    <t>Calculated results from the energy assessment. Part of an Energy Report summarising the results of the various energy calculations made by the Home Inspector.</t>
  </si>
  <si>
    <t>DER</t>
  </si>
  <si>
    <t xml:space="preserve">The DER of the Property </t>
  </si>
  <si>
    <t>TER</t>
  </si>
  <si>
    <t xml:space="preserve">The TER of the Property </t>
  </si>
  <si>
    <t>DPER</t>
  </si>
  <si>
    <t xml:space="preserve">The DPER of the Property </t>
  </si>
  <si>
    <t>TPER</t>
  </si>
  <si>
    <t xml:space="preserve">The TPER of the Property </t>
  </si>
  <si>
    <t>DFEE</t>
  </si>
  <si>
    <t xml:space="preserve">The DFEE of the Property </t>
  </si>
  <si>
    <t>TFEE</t>
  </si>
  <si>
    <t xml:space="preserve">The TFEE of the Property </t>
  </si>
  <si>
    <t>Energy-Rating-Current</t>
  </si>
  <si>
    <t xml:space="preserve">The Current Energy Rating of the Property </t>
  </si>
  <si>
    <t>Energy-Rating-Potential</t>
  </si>
  <si>
    <t xml:space="preserve">The overall Energy Rating for the Property being assessed. </t>
  </si>
  <si>
    <t>Energy-Rating-Average</t>
  </si>
  <si>
    <t xml:space="preserve">Average SAP rating for the country concerned. 0 if unknown or not applicable </t>
  </si>
  <si>
    <t>Environmental-Impact-Current</t>
  </si>
  <si>
    <t xml:space="preserve">The estimated current Environmental Impact Rating of the property </t>
  </si>
  <si>
    <t>Environmental-Impact-Potential</t>
  </si>
  <si>
    <t xml:space="preserve">The estimated potential Environmental Impact Rating of the property </t>
  </si>
  <si>
    <t>Energy-Consumption-Current</t>
  </si>
  <si>
    <t xml:space="preserve">Estimated total energy consumption for the Property in a 12 month period. Value is Kilowatt Hours per Square Metre (kWh/m2) </t>
  </si>
  <si>
    <t>Energy-Consumption-Potential</t>
  </si>
  <si>
    <t>CO2-Emissions-Current</t>
  </si>
  <si>
    <t xml:space="preserve">CO2 emissions per year in tonnes/year. </t>
  </si>
  <si>
    <t>CO2-Emissions-Current-Per-Floor-Area</t>
  </si>
  <si>
    <t xml:space="preserve">CO2 emissions per square metre floor area per year in kg/m2. </t>
  </si>
  <si>
    <t>CO2-Emissions-Potential</t>
  </si>
  <si>
    <t xml:space="preserve">Estimated value in Tonnes per Year of the total CO2 emissions produced by the Property in 12 month period. </t>
  </si>
  <si>
    <t>Lighting-Cost-Current</t>
  </si>
  <si>
    <t>The current estimated cost of Lighting for the property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</si>
  <si>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Lighting-Cost-Potential</t>
  </si>
  <si>
    <t>Heating-Cost-Current</t>
  </si>
  <si>
    <t>The current estimated cost of Heating for the property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</si>
  <si>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Heating-Cost-Potential</t>
  </si>
  <si>
    <t>Hot-Water-Cost-Current</t>
  </si>
  <si>
    <t>|The current estimated cost of Hot Water for the property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</si>
  <si>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Hot-Water-Cost-Potential</t>
  </si>
  <si>
    <t>Suggested-Improvements</t>
  </si>
  <si>
    <t>Improvement measures listed on the EPC. Part of an Energy Report that describes the a set of improvements that the Home Inspector considers would contribute to the overall energy rating of the property.</t>
  </si>
  <si>
    <t>Improvement</t>
  </si>
  <si>
    <t>Sequence</t>
  </si>
  <si>
    <t xml:space="preserve">Sequence of the Suggested Improvements within the set of Suggested Improvements. This is used to order the Recommendations on the output HCR / EPC so that the cumulative Ratings make sense. The Improved Energy Ratings that result from carrying out a Suggested Improvement are cumulative and assume that the improvements have been installed in the order they appear in the list. Hence they must be sequenced. </t>
  </si>
  <si>
    <t>Improvement-Category</t>
  </si>
  <si>
    <t xml:space="preserve">The category of improvement. This identifies where on the report the recommendation is printed. </t>
  </si>
  <si>
    <t>Improvement-Type</t>
  </si>
  <si>
    <t xml:space="preserve">Suggested work to be carried out on the Property to improve its energy efficiency. This should be a enumerated list of acceptable improvements but it hasn't yet been defined. </t>
  </si>
  <si>
    <t>Typical-Saving</t>
  </si>
  <si>
    <t>Typical savings (in British Pounds) per year if the suggested improvement is carried out. 0 if not assessed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</si>
  <si>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Energy-Performance-Rating</t>
  </si>
  <si>
    <t xml:space="preserve">The estimated Energy performance rating of the Property after the Suggested Improvement has been carried out providing any preceding Suggested Improvement has also been carried out. 0 if not assessed </t>
  </si>
  <si>
    <t>Environmental-Impact-Rating</t>
  </si>
  <si>
    <t xml:space="preserve">The estimated Environmental Impact rating of the Property after the Suggested Improvement has been carried out providing any preceding Suggested Improvement has also been carried out. 0 if not assessed </t>
  </si>
  <si>
    <t>Improvement-Details</t>
  </si>
  <si>
    <t>Improvement-Texts</t>
  </si>
  <si>
    <t xml:space="preserve">For backward compatability only </t>
  </si>
  <si>
    <t>Improvement-Summary</t>
  </si>
  <si>
    <t>A short description of the suggested improvement. String value with a language code for natural-language text.</t>
  </si>
  <si>
    <t>Improvement-Heading</t>
  </si>
  <si>
    <t>Text to precede the improvement description. If this field is not provided the 'Improvement-Summary' is used instead. String value with a language code for natural-language text.</t>
  </si>
  <si>
    <t>Improvement-Description</t>
  </si>
  <si>
    <t>Detailed description of the suggested improvement. String value with a language code for natural-language text.</t>
  </si>
  <si>
    <t>Improvement-Number</t>
  </si>
  <si>
    <t>Indicative-Cost</t>
  </si>
  <si>
    <t>Green-Deal-Category</t>
  </si>
  <si>
    <t>LZC-Energy-Sources</t>
  </si>
  <si>
    <t xml:space="preserve"> Details of low and zero carbon energy source(s) for the property, if any.</t>
  </si>
  <si>
    <t>LZC-Energy-Source</t>
  </si>
  <si>
    <t xml:space="preserve">Low and zero carbon energy source(s) for the property. </t>
  </si>
  <si>
    <t>Renewable-Heat-Incentive</t>
  </si>
  <si>
    <t>RHI-New-Dwelling</t>
  </si>
  <si>
    <t>Space-Heating</t>
  </si>
  <si>
    <t xml:space="preserve">Space heating requirement. </t>
  </si>
  <si>
    <t>Water-Heating</t>
  </si>
  <si>
    <t xml:space="preserve">Water heating requirement. </t>
  </si>
  <si>
    <t>RHI-Existing-Dwelling</t>
  </si>
  <si>
    <t>Space-Heating-Existing-Dwelling</t>
  </si>
  <si>
    <t xml:space="preserve">Space heating requirement for existing dwelling. </t>
  </si>
  <si>
    <t>Space-Heating-With-Loft-Insulation</t>
  </si>
  <si>
    <t xml:space="preserve">Space heating requirement after implementation of loft insulation recommendation, omit if loft insulation not recommended. For backwards compatibility only, do not use </t>
  </si>
  <si>
    <t>Space-Heating-With-Cavity-Insulation</t>
  </si>
  <si>
    <t xml:space="preserve">Space heating requirement after implementation of cavity insulation recommendation, omit if cavity insulation not recommended. For backwards compatibility only, do not use </t>
  </si>
  <si>
    <t>Space-Heating-With-Loft-And-Cavity-Insulation</t>
  </si>
  <si>
    <t xml:space="preserve">Space heating requirement after implementation of loft and cavity insulation recommendations, same as existing dwelling if neither is recommended. For backwards compatibility only, do not use </t>
  </si>
  <si>
    <t>Impact-Of-Loft-Insulation</t>
  </si>
  <si>
    <t xml:space="preserve">Reduction in space heating requirement with loft insulation (as negative value). Omit if not applicable </t>
  </si>
  <si>
    <t>Impact-Of-Cavity-Insulation</t>
  </si>
  <si>
    <t xml:space="preserve">Reduction in space heating requirement with cavity insulation (as negative value). Omit if not applicable </t>
  </si>
  <si>
    <t>Impact-Of-Solid-Wall-Insulation</t>
  </si>
  <si>
    <t xml:space="preserve">Reduction in space heating requirement with solid wall insulation (as negative value). Omit if not applicable </t>
  </si>
  <si>
    <t>Green-Deal-Package</t>
  </si>
  <si>
    <t xml:space="preserve">Improvements that can form a Green Deal package </t>
  </si>
  <si>
    <t>Green-Deal-Improvement</t>
  </si>
  <si>
    <t xml:space="preserve">Improvements from Suggested-Improvements in the Green Deal package </t>
  </si>
  <si>
    <t>Electricity-Saving</t>
  </si>
  <si>
    <t>Total electricity saving for the package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</si>
  <si>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Gas-Saving</t>
  </si>
  <si>
    <t>Total gas saving for the package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</si>
  <si>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Other-Fuel-Saving</t>
  </si>
  <si>
    <t>Total other saving for the package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</si>
  <si>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Alternative-Improvements</t>
  </si>
  <si>
    <t>Alternative improvements to some of those given in Suggested-Improvements Part of an Energy Report that describes the a set of improvements that the Home Inspector considers would contribute to the overall energy rating of the property.</t>
  </si>
  <si>
    <t>Addendum</t>
  </si>
  <si>
    <t>Cavity-Fill-Recommended</t>
  </si>
  <si>
    <t xml:space="preserve">Cavity fill is recommended </t>
  </si>
  <si>
    <t>Stone-Walls</t>
  </si>
  <si>
    <t xml:space="preserve">Stone walls present, not insulated </t>
  </si>
  <si>
    <t>System-Build</t>
  </si>
  <si>
    <t xml:space="preserve">System build present </t>
  </si>
  <si>
    <t>Access-Issues</t>
  </si>
  <si>
    <t xml:space="preserve">Dwelling has access issues for cavity wall insulation. Include only when at least one of Cavity-Fill-Recommended, Stone-Walls, System-Build is also present </t>
  </si>
  <si>
    <t>High-Exposure</t>
  </si>
  <si>
    <t xml:space="preserve">Dwelling may be exposed to wind-driven rain. Include only when at least one of Cavity-Fill-Recommended, Stone-Walls, System-Build is also present </t>
  </si>
  <si>
    <t>Narrow-Cavities</t>
  </si>
  <si>
    <t xml:space="preserve">Dwelling may have narrow cavities. Include only when Cavity-Fill-Recommended is also present </t>
  </si>
  <si>
    <t xml:space="preserve"> These are the specific data-items collected by the HI / EA needed to perform the SAP calculation.</t>
  </si>
  <si>
    <t xml:space="preserve">Type of SAP data that has been collected. </t>
  </si>
  <si>
    <t xml:space="preserve"> Various measurements a particular Property.</t>
  </si>
  <si>
    <t xml:space="preserve">The type of Property, such as House, Flat, Mansion, Maisonette etc. </t>
  </si>
  <si>
    <t>Built-Form</t>
  </si>
  <si>
    <t xml:space="preserve">The building type of the Property e.g. Detached, Semi-Detached, Terrace etc. Together with the Property Type, the Built Form provides a structured description of the property. </t>
  </si>
  <si>
    <t xml:space="preserve">The size of the living area in square metres. The living area is the room marked on a plan as the lounge or living room, or the largest public room (irrespective of usage by particular occupants), together with any rooms not separated from the lounge or living room by doors, and including any cupboards directly accessed from the lounge or living room. Living area does not, however, extend over more than one storey, even when stairs enter the living area directly. </t>
  </si>
  <si>
    <t>Lowest-Storey-Area</t>
  </si>
  <si>
    <t xml:space="preserve">The Area of the lowest storey in square meters including unheated or communal areas such as garages or corridors. </t>
  </si>
  <si>
    <t>Orientation</t>
  </si>
  <si>
    <t xml:space="preserve">The orientation of the front of the property. </t>
  </si>
  <si>
    <t>Conservatory-Type</t>
  </si>
  <si>
    <t xml:space="preserve">Type of conservatory. </t>
  </si>
  <si>
    <t>Terrain-Type</t>
  </si>
  <si>
    <t xml:space="preserve">Terrain type. Needed for wind-turbines and for applying measures. </t>
  </si>
  <si>
    <t>Has-Special-Feature</t>
  </si>
  <si>
    <t xml:space="preserve">For backwards compatibility only, do not use. </t>
  </si>
  <si>
    <t>Special-Feature-Description</t>
  </si>
  <si>
    <t>For backwards compatibility only, do not use. String value with a language code for natural-language text.</t>
  </si>
  <si>
    <t>Energy-Saved-Or-Generated</t>
  </si>
  <si>
    <t>Saved-Or-Generated-Fuel</t>
  </si>
  <si>
    <t>Energy-Used</t>
  </si>
  <si>
    <t>Energy-Used-Fuel</t>
  </si>
  <si>
    <t>Is-In-Smoke-Control-Area</t>
  </si>
  <si>
    <t xml:space="preserve">Is property in a smoke control area? Only if a solid fuel appliance is used. </t>
  </si>
  <si>
    <t xml:space="preserve">What is the cold water source? Either mains or header tank. </t>
  </si>
  <si>
    <t xml:space="preserve">Average amount of overshading of windows. </t>
  </si>
  <si>
    <t>Thermal-Mass-Parameter</t>
  </si>
  <si>
    <t xml:space="preserve">Average thermal mass parameter for the dwelling in kJ/m2K. If omitted it is calculated using the kappa values of each element. </t>
  </si>
  <si>
    <t>Additional-Allowable-Electricity-Generation</t>
  </si>
  <si>
    <t xml:space="preserve">Additional allowable electricity generation applicable to this dwelling in kWh per square metre; only if Zero Carbon Home assessment. </t>
  </si>
  <si>
    <t>Gas-Smart-Meter-Present</t>
  </si>
  <si>
    <t>Electricity-Smart-Meter-Present</t>
  </si>
  <si>
    <t>Is-Dwelling-Export-Capable</t>
  </si>
  <si>
    <t>PV-Connection</t>
  </si>
  <si>
    <t>PV-Diverter</t>
  </si>
  <si>
    <t xml:space="preserve">Diverter present. </t>
  </si>
  <si>
    <t>Battery-Capacity</t>
  </si>
  <si>
    <t xml:space="preserve">Battery capacity if diverter present. </t>
  </si>
  <si>
    <t>Is-Wind-Turbine-Connected-To-Dwelling-Meter</t>
  </si>
  <si>
    <t xml:space="preserve">Whether the wind turbine is connected to the Dwelling's meter. </t>
  </si>
  <si>
    <t>SAP-Heating</t>
  </si>
  <si>
    <t xml:space="preserve"> Details of the means by which the Main Building is heated.</t>
  </si>
  <si>
    <t>Water-Heating-Code</t>
  </si>
  <si>
    <t xml:space="preserve">The type of Water Heating present in the Property. </t>
  </si>
  <si>
    <t>Water-Fuel-Type</t>
  </si>
  <si>
    <t xml:space="preserve">The type of fuel used to power the central heating e.g. Gas, Electricity. Not used if water system is main or secondary system. </t>
  </si>
  <si>
    <t>Secondary-Heating-Category</t>
  </si>
  <si>
    <t xml:space="preserve">Category of heating system for the secondary heating system. </t>
  </si>
  <si>
    <t>Secondary-Heating-Data-Source</t>
  </si>
  <si>
    <t xml:space="preserve">Source of secondary heating system data; only if secondary heating system. </t>
  </si>
  <si>
    <t>Secondary-Heating-Efficiency</t>
  </si>
  <si>
    <t>Secondary-Heating-Commisioning-Certificate</t>
  </si>
  <si>
    <t xml:space="preserve">Secondary heating system commisioning certificate number. </t>
  </si>
  <si>
    <t>Secondary-Heating-Installation-Engineer</t>
  </si>
  <si>
    <t xml:space="preserve">Secondary heating installation engineer registration reference. </t>
  </si>
  <si>
    <t>Secondary-Heating-Code</t>
  </si>
  <si>
    <t xml:space="preserve">Type of secondary heating present in the property; only if required and if heating data source is SAP table. </t>
  </si>
  <si>
    <t>Secondary-Fuel-Type</t>
  </si>
  <si>
    <t xml:space="preserve">The type of fuel used to power the secondary heating e.g. Gas, Electricity; only if required. </t>
  </si>
  <si>
    <t>Secondary-Heating-PCDF-Fuel-Index</t>
  </si>
  <si>
    <t xml:space="preserve">PCDF index number of the fuel type, only if Secondary-Fuel-Type is 99 (fuel from database). </t>
  </si>
  <si>
    <t>Secondary-Heating-Flue-Type</t>
  </si>
  <si>
    <t xml:space="preserve">Secondary flue type; only if secondary efficiency is manufacturer declaration and if there is a flue. </t>
  </si>
  <si>
    <t>Thermal-Store</t>
  </si>
  <si>
    <t xml:space="preserve">The type of thermal store; not used if main heating system is community heating scheme. </t>
  </si>
  <si>
    <t>Immersion-Heating-Type</t>
  </si>
  <si>
    <t xml:space="preserve">The type of immersion heating; only if immersion. </t>
  </si>
  <si>
    <t>Is-Heat-Pump-Assisted-By-Immersion</t>
  </si>
  <si>
    <t xml:space="preserve">Is heat pump assisted by immersion? Applicable only to hot water only heat pumps </t>
  </si>
  <si>
    <t>Is-Heat-Pump-Installed-To-MIS</t>
  </si>
  <si>
    <t xml:space="preserve">Is heat pump installed to MIS standard? Only if water heating from hot water only heat pump. </t>
  </si>
  <si>
    <t>Is-Immersion-For-Summer-Use</t>
  </si>
  <si>
    <t xml:space="preserve">Immersion for summer use? Only if main heating is solid fuel fire or room heater with boiler. </t>
  </si>
  <si>
    <t>Is-Secondary-Heating-HETAS-Approved</t>
  </si>
  <si>
    <t xml:space="preserve">Secondary heating appliance is HETAS approved? Only if solid fuel. </t>
  </si>
  <si>
    <t>Hot-Water-Store-Manufacturer</t>
  </si>
  <si>
    <t xml:space="preserve">Store Manufacturer name. </t>
  </si>
  <si>
    <t>Hot-Water-Store-Model</t>
  </si>
  <si>
    <t xml:space="preserve">Store Model name. </t>
  </si>
  <si>
    <t>Hot-Water-Store-Commissioning-Certificate</t>
  </si>
  <si>
    <t xml:space="preserve">Store comissioning certificate number. </t>
  </si>
  <si>
    <t>Hot-Water-Store-Installer-Engineer-Registration</t>
  </si>
  <si>
    <t xml:space="preserve">Store installer engineer registration number. </t>
  </si>
  <si>
    <t>Hot-Water-Store-Size</t>
  </si>
  <si>
    <t xml:space="preserve">Hot water store size in litres; if there is a hot water store. Store refers to hot water store type which can be cylinder (if thermal store is "none"), hot-water only thermal store or integrated thermal store. Not applicable if (a) combi boiler whose data source database or (b) instantaneous combi boiler or (c) combi boiler from SAP table or (d) instantaneous water heater. </t>
  </si>
  <si>
    <t>Hot-Water-Store-Heat-Transfer-Area</t>
  </si>
  <si>
    <t xml:space="preserve">Used when a heat pump is associated with a separate and specified hot water vessel. </t>
  </si>
  <si>
    <t>Hot-Water-Store-Heat-Loss-Source</t>
  </si>
  <si>
    <t xml:space="preserve">The source of the hot water store heat loss information; if there is a hot water store. Not applicable if (a) combi boiler whose data source database or (b) instantaneous combi boiler or (c) combi boiler from SAP table or (d) instantaneous water heater. </t>
  </si>
  <si>
    <t>Hot-Water-Store-Heat-Loss</t>
  </si>
  <si>
    <t xml:space="preserve">Hot water store declared loss in kWh/day; only if there is a hot water store and if manufacturer declared loss. Not applicable if (a) combi boiler whose data source database or (b) instantaneous combi boiler or (c) combi boiler from SAP table or (d) instantaneous water heater. </t>
  </si>
  <si>
    <t>Hot-Water-Store-Insulation-Type</t>
  </si>
  <si>
    <t xml:space="preserve">Hot water store insulation; only if there is a hot water store and if loss from SAP table. Not applicable if (a) combi boiler whose data source database or (b) instantaneous combi boiler or (c) combi boiler from SAP table or (d) instantaneous water heater. </t>
  </si>
  <si>
    <t>Hot-Water-Store-Insulation-Thickness</t>
  </si>
  <si>
    <t xml:space="preserve">Hot water store insulation thickness in mm; only if there is a hot water store and if loss from SAP table. Not applicable if (a) combi boiler whose data source database or (b) instantaneous combi boiler or (c) combi boiler from SAP table or (d) instantaneous water heater. </t>
  </si>
  <si>
    <t>Is-Thermal-Store-Near-Boiler</t>
  </si>
  <si>
    <t xml:space="preserve">Thermal store connected to boiler by no more than 1.5 m of insulated pipework? Only if thermal store. Not applicable if combi boiler or instantaneous water heater. </t>
  </si>
  <si>
    <t>Is-Thermal-Store-Or-CPSU-In-Airing-Cupboard</t>
  </si>
  <si>
    <t xml:space="preserve">Thermal store or CPSU in airing cupboard? Only if (a) boiler with integrated or hot-water-only thermal store, or (b) main heating is CPSU. </t>
  </si>
  <si>
    <t>Has-Cylinder-Thermostat</t>
  </si>
  <si>
    <t xml:space="preserve">Hot water cylinder thermostat? Not applicable if combi boiler or instantaneous water heater. </t>
  </si>
  <si>
    <t>Is-Cylinder-In-Heated-Space</t>
  </si>
  <si>
    <t xml:space="preserve">Hot water cylinder in heated space? Not applicable if combi boiler or instantaneous water heater. </t>
  </si>
  <si>
    <t>Is-Hot-Water-Separately-Timed</t>
  </si>
  <si>
    <t xml:space="preserve">Hot water separately timed? Not applicable if combi boiler or instantaneous water heater. </t>
  </si>
  <si>
    <t>Hot-Water-Controls-Manufacturer</t>
  </si>
  <si>
    <t>Hot-Water-Controls-Model</t>
  </si>
  <si>
    <t>SAP-Community-Heating-Systems</t>
  </si>
  <si>
    <t xml:space="preserve"> Community heating systems used by the property.</t>
  </si>
  <si>
    <t>SAP-Community-Heating-System</t>
  </si>
  <si>
    <t xml:space="preserve"> Details of a community system which heats the Main Building.</t>
  </si>
  <si>
    <t>Community-Heating-Name</t>
  </si>
  <si>
    <t xml:space="preserve">The name of the community heating system </t>
  </si>
  <si>
    <t>Community-Heating-CO2-Emission-Factor</t>
  </si>
  <si>
    <t xml:space="preserve">the community heating CO2 emission factor </t>
  </si>
  <si>
    <t>Community-Heating-Primary-Energy-Factor</t>
  </si>
  <si>
    <t xml:space="preserve">The community heating Primary Energy Factor </t>
  </si>
  <si>
    <t>Community-Heating-Use</t>
  </si>
  <si>
    <t xml:space="preserve">Specifies what kind of heating the community system is used for. </t>
  </si>
  <si>
    <t>Is-Community-Heating-Cylinder-In-Dwelling</t>
  </si>
  <si>
    <t xml:space="preserve">Community heating, cylinder in dwelling? </t>
  </si>
  <si>
    <t>Is-HIU-In-Dwelling</t>
  </si>
  <si>
    <t xml:space="preserve">Community heating, HIU in dwelling? </t>
  </si>
  <si>
    <t>HIU-Index-Number</t>
  </si>
  <si>
    <t xml:space="preserve">Heat Interface Unit index number, if present. </t>
  </si>
  <si>
    <t>Community-Heating-Distribution-Type</t>
  </si>
  <si>
    <t xml:space="preserve">Community heating distribution </t>
  </si>
  <si>
    <t>Community-Heat-Sources</t>
  </si>
  <si>
    <t xml:space="preserve">To be provided when there is no Heat-Network-Index-Number. </t>
  </si>
  <si>
    <t>Community-Heat-Source</t>
  </si>
  <si>
    <t>Heat-Source-Type</t>
  </si>
  <si>
    <t>Heat-Fraction</t>
  </si>
  <si>
    <t xml:space="preserve">Fraction of heat for the system provided by this heat source. </t>
  </si>
  <si>
    <t>Fuel-Type</t>
  </si>
  <si>
    <t>PCDF-Fuel-Index</t>
  </si>
  <si>
    <t>Heat-Efficiency</t>
  </si>
  <si>
    <t xml:space="preserve">Heat efficiency in %. </t>
  </si>
  <si>
    <t>Power-Efficiency</t>
  </si>
  <si>
    <t xml:space="preserve">Power efficiency in %. Include when heat source is CHP. </t>
  </si>
  <si>
    <t>CHP-Electricity-Generation</t>
  </si>
  <si>
    <t xml:space="preserve">CHP Electricity generation options from table 12f. </t>
  </si>
  <si>
    <t>Community-Heating-Distribution-Loss-Factor</t>
  </si>
  <si>
    <t xml:space="preserve">Used when Community-Heating-Distribution-Type is calculated. </t>
  </si>
  <si>
    <t>Charging-Linked-To-Heat-Use</t>
  </si>
  <si>
    <t xml:space="preserve">Used for hot-water-only systems. </t>
  </si>
  <si>
    <t>Heat-Network-Index-Number</t>
  </si>
  <si>
    <t xml:space="preserve">Index number of heat network, if applicable. </t>
  </si>
  <si>
    <t>Sub-Network-Name</t>
  </si>
  <si>
    <t xml:space="preserve">The name by which the sub community heat network is known. </t>
  </si>
  <si>
    <t>Heat-Network-Existing</t>
  </si>
  <si>
    <t xml:space="preserve">Whether the heat network is existing or new. </t>
  </si>
  <si>
    <t>Heat-Network-Assessed-As-New</t>
  </si>
  <si>
    <t xml:space="preserve">Whether the heat network is assessed as a new heat network (post June 2022) for Eng with a standalone gas boiler notional building. </t>
  </si>
  <si>
    <t>Main-Heating-Details</t>
  </si>
  <si>
    <t>Main-Heating-Number</t>
  </si>
  <si>
    <t xml:space="preserve">Identifies the main heating as system 1 or system 2. System 1 must always be present, system 2 is included only when there are two systems. </t>
  </si>
  <si>
    <t>Main-Heating-Category</t>
  </si>
  <si>
    <t xml:space="preserve">Category of heating system for the main heating system. </t>
  </si>
  <si>
    <t>Main-Heating-Data-Source</t>
  </si>
  <si>
    <t xml:space="preserve">Source of main heating system data. </t>
  </si>
  <si>
    <t>Main-Heating-Index-Number</t>
  </si>
  <si>
    <t xml:space="preserve">The ID of the heating system from the product database, if system from database. </t>
  </si>
  <si>
    <t>Main-Heating-Manufacturer</t>
  </si>
  <si>
    <t>Main-Heating-Model</t>
  </si>
  <si>
    <t>Main-Heating-Commissioning-Certificate</t>
  </si>
  <si>
    <t>Main-Heating-Installation-Engineer</t>
  </si>
  <si>
    <t xml:space="preserve">Main heating installation engineer registration reference. </t>
  </si>
  <si>
    <t>Is-Condensing-Boiler</t>
  </si>
  <si>
    <t xml:space="preserve">Is the boiler a condensing boiler? If boiler efficiency is manufacturer declaration. </t>
  </si>
  <si>
    <t>Condensing-Boiler-Heat-Distribution</t>
  </si>
  <si>
    <t xml:space="preserve">The temperature distribution of the condensing boiler. </t>
  </si>
  <si>
    <t>Heat-Pump-Heat-Distribution</t>
  </si>
  <si>
    <t xml:space="preserve">The temperature distribution of the heat pump, for wet systems only. </t>
  </si>
  <si>
    <t>Gas-Or-Oil-Boiler-Type</t>
  </si>
  <si>
    <t xml:space="preserve">Boiler type; if boiler efficiency is manufacturer declaration and fuel is gas or oil. </t>
  </si>
  <si>
    <t>Combi-Boiler-Type</t>
  </si>
  <si>
    <t xml:space="preserve">Combi boiler type; if it is a combi boiler and boiler efficiency is manufacturer declaration. </t>
  </si>
  <si>
    <t>Case-Heat-Emission</t>
  </si>
  <si>
    <t xml:space="preserve">Case heat emission at full load in kW; if it is a range cooker boiler and boiler efficiency is manufacturer declaration. </t>
  </si>
  <si>
    <t>Heat-Transfer-To-Water</t>
  </si>
  <si>
    <t xml:space="preserve">Heat transfer to water at full load in kW; if it is a range cooker boiler and boiler efficiency is manufacturer declaration. </t>
  </si>
  <si>
    <t>Solid-Fuel-Boiler-Type</t>
  </si>
  <si>
    <t xml:space="preserve">Boiler type; if boiler efficiency is manufacturer declaration and fuel is solid. </t>
  </si>
  <si>
    <t>Main-Heating-Code</t>
  </si>
  <si>
    <t xml:space="preserve">Main heating code; when heating data source is SAP table. </t>
  </si>
  <si>
    <t>Main-Fuel-Type</t>
  </si>
  <si>
    <t xml:space="preserve">The type of fuel used to power the central heating e.g. Gas, Electricity; not used if main heating system is community heating scheme. </t>
  </si>
  <si>
    <t xml:space="preserve">PCDF index number of the fuel type, only if Main-Fuel-Type is 99 (fuel from database). </t>
  </si>
  <si>
    <t>Main-Heating-Control</t>
  </si>
  <si>
    <t xml:space="preserve">Type of Main Control for the Heating System. </t>
  </si>
  <si>
    <t>Heat-Emitter-Type</t>
  </si>
  <si>
    <t xml:space="preserve">Identifies the means by which the central heating system (if present) emits heat; only when wet system (radiators or underfloor). </t>
  </si>
  <si>
    <t>Underfloor-Heat-Emitter-Type</t>
  </si>
  <si>
    <t xml:space="preserve">Means by which an underfloor heating system (if present) emits heat; only when wet system (underfloor). </t>
  </si>
  <si>
    <t>Main-Heating-Flue-Type</t>
  </si>
  <si>
    <t xml:space="preserve">The type of main heating flue; only if flued appliance. </t>
  </si>
  <si>
    <t>Is-Flue-Fan-Present</t>
  </si>
  <si>
    <t xml:space="preserve">Indicates whether the heating system contains a fan flue; only if boiler. </t>
  </si>
  <si>
    <t>Is-Central-Heating-Pump-In-Heated-Space</t>
  </si>
  <si>
    <t xml:space="preserve">Central heating pump in heated space? Only when wet system (radiators or underfloor). </t>
  </si>
  <si>
    <t>Is-Oil-Pump-In-Heated-Space</t>
  </si>
  <si>
    <t xml:space="preserve">Oil pump in heated space? Only if oil boiler. </t>
  </si>
  <si>
    <t>Is-Interlocked-System</t>
  </si>
  <si>
    <t xml:space="preserve">Interlocked system? Only when wet system (radiators or underfloor). </t>
  </si>
  <si>
    <t>Has-Separate-Delayed-Start</t>
  </si>
  <si>
    <t xml:space="preserve">True if there is a delayed start control separate from a controller in the database. </t>
  </si>
  <si>
    <t>Boiler-Fuel-Feed</t>
  </si>
  <si>
    <t xml:space="preserve">The type of boiler fuel feed; only if solid fuel boiler with manufacturer declaration. </t>
  </si>
  <si>
    <t>Is-Main-Heating-HETAS-Approved</t>
  </si>
  <si>
    <t xml:space="preserve">Main heating appliance is HETAS approved? Only if solid fuel. </t>
  </si>
  <si>
    <t>Electric-CPSU-Operating-Temperature</t>
  </si>
  <si>
    <t xml:space="preserve">Electric CPSU operating temperature in Celcius; only if main heating is electric CPSU. </t>
  </si>
  <si>
    <t>Main-Heating-Fraction</t>
  </si>
  <si>
    <t xml:space="preserve">Fraction of main heating provided by this system, is 1 if only one main system. </t>
  </si>
  <si>
    <t>Burner-Control</t>
  </si>
  <si>
    <t>Efficiency-Type</t>
  </si>
  <si>
    <t>Main-Heating-Efficiency-Winter</t>
  </si>
  <si>
    <t xml:space="preserve">To be used if main heating data is manufacturer declaration and Efficiency-Type is winter and summer. </t>
  </si>
  <si>
    <t>Main-Heating-Efficiency-Summer</t>
  </si>
  <si>
    <t>Main-Heating-Efficiency</t>
  </si>
  <si>
    <t xml:space="preserve">If main heating is any system other than heat network. </t>
  </si>
  <si>
    <t>Main-Heating-System-Type</t>
  </si>
  <si>
    <t xml:space="preserve">Main heating system type or technology, for e.g., combi boiler, air source heat pump, etc. </t>
  </si>
  <si>
    <t>Has-FGHRS</t>
  </si>
  <si>
    <t xml:space="preserve">Flue Gas Heat Recovery System. </t>
  </si>
  <si>
    <t>FGHRS-Index-Number</t>
  </si>
  <si>
    <t xml:space="preserve">FGHRS index number; only if FGHRS. </t>
  </si>
  <si>
    <t>FGHRS-Energy-Source</t>
  </si>
  <si>
    <t xml:space="preserve"> Details of the main Electricity supply to the Property.</t>
  </si>
  <si>
    <t>PV-Arrays</t>
  </si>
  <si>
    <t>PV-Array</t>
  </si>
  <si>
    <t>Peak-Power</t>
  </si>
  <si>
    <t xml:space="preserve">Peak kW of photovoltaics (PVs) (kWp); 0.0 if none. </t>
  </si>
  <si>
    <t xml:space="preserve">PV orientation; only if peak kWp &gt; 0. </t>
  </si>
  <si>
    <t>Pitch</t>
  </si>
  <si>
    <t xml:space="preserve">PV pitch; only if peak kWp &gt; 0. </t>
  </si>
  <si>
    <t>Overshading</t>
  </si>
  <si>
    <t xml:space="preserve">PV overshading; only if peak kWp &gt; 0 and no MCS certificate. </t>
  </si>
  <si>
    <t>MCS-Certificate</t>
  </si>
  <si>
    <t xml:space="preserve">Does the installation have a MCS certificate. </t>
  </si>
  <si>
    <t>MCS-Certificate-Reference</t>
  </si>
  <si>
    <t xml:space="preserve">MCS certificate reference number </t>
  </si>
  <si>
    <t>PV-Panel-Manufacturer-Name</t>
  </si>
  <si>
    <t xml:space="preserve">Manufacturer of PV panels </t>
  </si>
  <si>
    <t>Overshading-MCS</t>
  </si>
  <si>
    <t xml:space="preserve">Overshading factor calculated according to MCS. </t>
  </si>
  <si>
    <t>Wind-Turbines</t>
  </si>
  <si>
    <t>Wind-Turbine</t>
  </si>
  <si>
    <t>Wind-Turbine-Manufacturer-Name</t>
  </si>
  <si>
    <t xml:space="preserve">Wind turbine manufacturer name. </t>
  </si>
  <si>
    <t>Wind-Turbine-Certificate</t>
  </si>
  <si>
    <t xml:space="preserve">Wind turbine certificate. </t>
  </si>
  <si>
    <t>Wind-Turbine-Rotor-Diameter</t>
  </si>
  <si>
    <t xml:space="preserve">Wind turbine rotor diameter in metres; only if wind turbine. </t>
  </si>
  <si>
    <t>Wind-Turbine-Hub-Height</t>
  </si>
  <si>
    <t xml:space="preserve">Wind turbine hub height above building in metres; only if wind turbine. </t>
  </si>
  <si>
    <t>Electricity-Tariff</t>
  </si>
  <si>
    <t xml:space="preserve">Type of electricity tariff. </t>
  </si>
  <si>
    <t>Hydro-Electric-Generation</t>
  </si>
  <si>
    <t xml:space="preserve">Electricity generated by hydro-electric generator, in kWh/year. To be provided if Hydro-Electric-Generation-Month is not provided. </t>
  </si>
  <si>
    <t>Hydro-Electric-Certificate</t>
  </si>
  <si>
    <t xml:space="preserve">Reference to certification of hydro electric output. </t>
  </si>
  <si>
    <t>Hydro-Electric-Generation-Months</t>
  </si>
  <si>
    <t xml:space="preserve">Electricity generated by hydro-electric generator, in kWh/month. To be provided if Hydro-Electric-Generation is not provided. </t>
  </si>
  <si>
    <t>Hydro-Electric-Generation-Month</t>
  </si>
  <si>
    <t>Hydro-Month</t>
  </si>
  <si>
    <t>Hydro-Value</t>
  </si>
  <si>
    <t xml:space="preserve">Hydro electricity in kWh in month. </t>
  </si>
  <si>
    <t>Is-Hydro-Output-Connected-To-Dwelling-Meter</t>
  </si>
  <si>
    <t xml:space="preserve">Whether the hydro-electric station is connected to dwelling's electricity meter </t>
  </si>
  <si>
    <t>Main-Heating-Declared-Values</t>
  </si>
  <si>
    <t>Efficiency</t>
  </si>
  <si>
    <t>Make-Model</t>
  </si>
  <si>
    <t>Test-Method</t>
  </si>
  <si>
    <t>Storage-Heaters</t>
  </si>
  <si>
    <t>Storage-Heater</t>
  </si>
  <si>
    <t>Number-Of-Heaters</t>
  </si>
  <si>
    <t xml:space="preserve">The number of storage heaters with this index number. </t>
  </si>
  <si>
    <t>Index-Number</t>
  </si>
  <si>
    <t xml:space="preserve">The index number of the heater from the product database. </t>
  </si>
  <si>
    <t>High-Heat-Retention</t>
  </si>
  <si>
    <t xml:space="preserve">Whether heater is high heat retention type. </t>
  </si>
  <si>
    <t>Emitter-Temperature</t>
  </si>
  <si>
    <t xml:space="preserve">Gas and oil boilers and heat pump from database: 0, 1, 3 or 4 Other heat pump 0, 2 or 4. Other systems NA. </t>
  </si>
  <si>
    <t>MCS-Installed-Heat-Pump</t>
  </si>
  <si>
    <t xml:space="preserve">Whether heat pump was installed under the Microgeneration Certification Scheme. </t>
  </si>
  <si>
    <t>Central-Heating-Pump-Age</t>
  </si>
  <si>
    <t xml:space="preserve">Included for systems with a central heating pump, i.e. wet system. </t>
  </si>
  <si>
    <t>Control-Index-Number</t>
  </si>
  <si>
    <t xml:space="preserve">The ID of the controller from the product database. </t>
  </si>
  <si>
    <t>Heating-Controller-Function</t>
  </si>
  <si>
    <t>Heating-Controller-Ecodesign-Class</t>
  </si>
  <si>
    <t>Heating-Controller-Manufacturer</t>
  </si>
  <si>
    <t>Heating-Controller-Model</t>
  </si>
  <si>
    <t>SAP-Heating-Design-Water-Use</t>
  </si>
  <si>
    <t>1 - &lt;= 125 litres per person per day</t>
  </si>
  <si>
    <t>Main-Heating-Systems-Interaction</t>
  </si>
  <si>
    <t>Secondary-Heating-Declared-Values</t>
  </si>
  <si>
    <t xml:space="preserve">Use when manufacturer's declared values. </t>
  </si>
  <si>
    <t>Primary-Pipework-Insulation</t>
  </si>
  <si>
    <t xml:space="preserve">Not applicable to combi boiler or instantaneous water heater. </t>
  </si>
  <si>
    <t>Solar-Heating-Details</t>
  </si>
  <si>
    <t>Solar-Heating-Collector-Manufacturer</t>
  </si>
  <si>
    <t xml:space="preserve">Panel manufacturer </t>
  </si>
  <si>
    <t>Solar-Heating-Certificate</t>
  </si>
  <si>
    <t xml:space="preserve">Solar heating certificate </t>
  </si>
  <si>
    <t>Solar-Panel-Aperture-Area</t>
  </si>
  <si>
    <t xml:space="preserve">Panel aperture area in square metres. </t>
  </si>
  <si>
    <t>Solar-Panel-Collector-Type</t>
  </si>
  <si>
    <t xml:space="preserve">Type of solar panel collector. </t>
  </si>
  <si>
    <t>Solar-Panel-Collector-Data-Source</t>
  </si>
  <si>
    <t xml:space="preserve">Source of solar panel collector data. </t>
  </si>
  <si>
    <t>Solar-Panel-Collector-Zero-Loss-Efficiency</t>
  </si>
  <si>
    <t xml:space="preserve">Collector zero-loss efficiency; only if declared values. </t>
  </si>
  <si>
    <t>Solar-Panel-Collector-Heat-Loss-Rate</t>
  </si>
  <si>
    <t xml:space="preserve">Collector heat loss rate; for backward compatibility only, do not use. </t>
  </si>
  <si>
    <t>Solar-Panel-Collector-Linear-Heat-Loss-Coefficient</t>
  </si>
  <si>
    <t xml:space="preserve">Collector linear heat loss coefficient; only if declared values. </t>
  </si>
  <si>
    <t>Solar-Panel-Collector-Second-Order-Heat-Loss-Coefficient</t>
  </si>
  <si>
    <t xml:space="preserve">Collector 2nd order heat loss coefficient; only if declared values. </t>
  </si>
  <si>
    <t>Solar-Panel-Collector-Orientation</t>
  </si>
  <si>
    <t xml:space="preserve">Collector orientation. </t>
  </si>
  <si>
    <t>Solar-Panel-Collector-Pitch</t>
  </si>
  <si>
    <t>Solar-Panel-Collector-Overshading</t>
  </si>
  <si>
    <t>Has-Solar-Powered-Pump</t>
  </si>
  <si>
    <t>Is-Solar-Store-Combined-Cylinder</t>
  </si>
  <si>
    <t>Solar-Store-Volume</t>
  </si>
  <si>
    <t xml:space="preserve">Dedicated solar store volume in litres. </t>
  </si>
  <si>
    <t>Collector-Loop-Efficiency</t>
  </si>
  <si>
    <t xml:space="preserve">Collector loop efficiency; only if declared values. </t>
  </si>
  <si>
    <t>Incidence-Angle-Modifier</t>
  </si>
  <si>
    <t xml:space="preserve">Incidence angle modifier; only if declared values. </t>
  </si>
  <si>
    <t>Is-Community-Solar</t>
  </si>
  <si>
    <t>Service-Provision</t>
  </si>
  <si>
    <t>Overall-Heat-Loss</t>
  </si>
  <si>
    <t xml:space="preserve">Overall heat loss coefficient of system; only if declared values. </t>
  </si>
  <si>
    <t>Instantaneous-WWHRS</t>
  </si>
  <si>
    <t xml:space="preserve">Waste Water Heat Recovery System. </t>
  </si>
  <si>
    <t>WWHRS-Index-Number1</t>
  </si>
  <si>
    <t>WWHRS-Index-Number2</t>
  </si>
  <si>
    <t xml:space="preserve">Omit if no second system. </t>
  </si>
  <si>
    <t>WWHRS-Efficiency1</t>
  </si>
  <si>
    <t>WWHRS-Manufacturer1</t>
  </si>
  <si>
    <t>WWHRS-Model1</t>
  </si>
  <si>
    <t>WWHRS-Efficiency2</t>
  </si>
  <si>
    <t>WWHRS-Manufacturer2</t>
  </si>
  <si>
    <t>WWHRS-Model2</t>
  </si>
  <si>
    <t>Storage-WWHRS</t>
  </si>
  <si>
    <t>WWHRS-Index-Number</t>
  </si>
  <si>
    <t>WWHRS-Store-Volume</t>
  </si>
  <si>
    <t xml:space="preserve">Dedicated store volume in litres. </t>
  </si>
  <si>
    <t>Storage-WWHRS-Efficiency</t>
  </si>
  <si>
    <t>Storage-WWHRS-Manufacturer</t>
  </si>
  <si>
    <t>Storage-WWHRS-Model</t>
  </si>
  <si>
    <t>Shower-Outlets</t>
  </si>
  <si>
    <t xml:space="preserve"> Shower outlets present in the dwelling. If there are more than 5 then only include the 5 with the highest flow rates used.</t>
  </si>
  <si>
    <t>Shower-Outlet</t>
  </si>
  <si>
    <t xml:space="preserve"> Various details for each shower outlet.</t>
  </si>
  <si>
    <t>Shower-Outlet-Type</t>
  </si>
  <si>
    <t xml:space="preserve">Hot water type for this shower outlet. </t>
  </si>
  <si>
    <t>Shower-Flow-Rate</t>
  </si>
  <si>
    <t xml:space="preserve">The flow rate. Only when a shower is not instantaneous electric. Leave blank if NO flow limiter fitted. </t>
  </si>
  <si>
    <t>Shower-Power</t>
  </si>
  <si>
    <t xml:space="preserve">The shower power, only if shower outlet type is instantaneous electric. </t>
  </si>
  <si>
    <t>Shower-WWHRS</t>
  </si>
  <si>
    <t xml:space="preserve">The WWHRS with which the shower is connected. If shower outlet type is instantaneous electric shower then only a storage WWHRS can be selected or none. </t>
  </si>
  <si>
    <t>Number-Baths</t>
  </si>
  <si>
    <t>Number-Baths-WWHRS</t>
  </si>
  <si>
    <t>SAP-Energy-Source</t>
  </si>
  <si>
    <t xml:space="preserve"> Details of the significant building parts that comprise the main habitable building in the property. The main habitable area generally consists of a single main building but can over time be extended to include extensions such as new wings and additional storeys. For the purpose of calculating the overall Energy Assessment for the property details of each distinct Building Part, such as its construction, have to be gathered because different materials have different insulation ratings (obviously) which affects the overall rating.</t>
  </si>
  <si>
    <t xml:space="preserve"> A permanent structure that forms part of the Property and is built primarily for human habitation. A Building Part is usually made up of one or more Storey's and may contain a number of Internal Structural Features. An extension is also a Building Part.</t>
  </si>
  <si>
    <t xml:space="preserve">An integer value which uniquely identifies the building part in the property. The value "1" must be assigned to the main dwelling. </t>
  </si>
  <si>
    <t>Identifier</t>
  </si>
  <si>
    <t>Identifier for the Building part - generally only required if there are more that one Building Parts of the same type e.g. "West Wing" and "East Wing" Extensions A string containing a unique identifier for something. The underlying assumption is that each instance of a class or entity will have a unique identifier assigned to it which can then be assigned to any referencing entity as a reference to the entity instance. This is a very similar concept to XML ID datatype but is locally defined because of the need to extend the datatype with domain specific attributes.</t>
  </si>
  <si>
    <t>Construction-Year</t>
  </si>
  <si>
    <t xml:space="preserve">The year when this building part was constructed. Not used if 'Construction-Age-Band' is used. </t>
  </si>
  <si>
    <t>Construction-Age-Band</t>
  </si>
  <si>
    <t xml:space="preserve">The age band when this building part was constructed. Not used if 'Construction-Year' is used. </t>
  </si>
  <si>
    <t>SAP-Openings</t>
  </si>
  <si>
    <t xml:space="preserve"> Exposed openings that make up a particular Building-Part.</t>
  </si>
  <si>
    <t>SAP-Opening</t>
  </si>
  <si>
    <t xml:space="preserve"> Various measurements for each exposed opening that makes up a particular Building-Part.</t>
  </si>
  <si>
    <t xml:space="preserve">Unique name which identifies this opening. Can be just a number, e.g. "1". However, an opening cannot have the same name as a wall. </t>
  </si>
  <si>
    <t>Type</t>
  </si>
  <si>
    <t xml:space="preserve">The name of the SAP-Opening-Type for this opening. </t>
  </si>
  <si>
    <t>Location</t>
  </si>
  <si>
    <t xml:space="preserve">Name of the wall or roof which contains the opening. </t>
  </si>
  <si>
    <t xml:space="preserve">Compass direction in which the opening faces. </t>
  </si>
  <si>
    <t>Width</t>
  </si>
  <si>
    <t xml:space="preserve">The width of the opening in metres. If the Width field is used to record the opening area, set the Height to 1. </t>
  </si>
  <si>
    <t>Height</t>
  </si>
  <si>
    <t xml:space="preserve">The height of the opening in metres. If the Height field is used to record the opening area, set the Width to 1. </t>
  </si>
  <si>
    <t xml:space="preserve">Pitch of roof containing roof window. </t>
  </si>
  <si>
    <t>SAP-Roofs</t>
  </si>
  <si>
    <t xml:space="preserve"> Exposed roofs that make up a particular Building-Part.</t>
  </si>
  <si>
    <t>SAP-Roof</t>
  </si>
  <si>
    <t xml:space="preserve"> Various measurements for each exposed roof that makes up a particular Building-Part.</t>
  </si>
  <si>
    <t xml:space="preserve">Unique name which identifies this roof. Can be just a number, e.g. "1". However, a roof cannot have the same name as a wall. </t>
  </si>
  <si>
    <t>Descriptive notes about the roof. String value with a language code for natural-language text.</t>
  </si>
  <si>
    <t>Roof-Type</t>
  </si>
  <si>
    <t>Total-Roof-Area</t>
  </si>
  <si>
    <t xml:space="preserve">Total roof area in square metres, inclusive of any openings. </t>
  </si>
  <si>
    <t>U-Value</t>
  </si>
  <si>
    <t xml:space="preserve">Exposed roof U-value. </t>
  </si>
  <si>
    <t>Kappa-Value</t>
  </si>
  <si>
    <t xml:space="preserve">Heat capacity per unit area in kJ/m2K. </t>
  </si>
  <si>
    <t xml:space="preserve"> Storeys that make up a particular Building-Part.</t>
  </si>
  <si>
    <t xml:space="preserve"> Various measurements for the floor of a particular storey.</t>
  </si>
  <si>
    <t xml:space="preserve">A name describing the floor dimensioned. </t>
  </si>
  <si>
    <t xml:space="preserve">Building storey on which the floor is located. </t>
  </si>
  <si>
    <t>Descriptive notes about the floor. String value with a language code for natural-language text.</t>
  </si>
  <si>
    <t xml:space="preserve">Type of floor (exposure). </t>
  </si>
  <si>
    <t xml:space="preserve">The total floor area of the storey in square metres. </t>
  </si>
  <si>
    <t xml:space="preserve">Average height of the storey in metres. </t>
  </si>
  <si>
    <t xml:space="preserve">The estimated total heat loss area for the floor in square metres. </t>
  </si>
  <si>
    <t xml:space="preserve">Heat loss floor U-value. </t>
  </si>
  <si>
    <t xml:space="preserve">Heat capacity of floor per unit area in kJ/m2K. </t>
  </si>
  <si>
    <t>Kappa-Value-From-Below</t>
  </si>
  <si>
    <t xml:space="preserve">Heat capacity of ceiling below. Applies to the non-heat-loss area of an upper floor. </t>
  </si>
  <si>
    <t>SAP-Thermal-Bridges</t>
  </si>
  <si>
    <t xml:space="preserve"> Thermal bridges that make up a particular Building-Part.</t>
  </si>
  <si>
    <t>Thermal-Bridge-Code</t>
  </si>
  <si>
    <t xml:space="preserve">Code which indicates how the thermal bridge data has been recorded. </t>
  </si>
  <si>
    <t>User-Defined-Y-Value</t>
  </si>
  <si>
    <t xml:space="preserve">Global y-value for all thermal bridges in watts per square metre per kelvin; only if thermal bridge code is: user defined (global y-value) </t>
  </si>
  <si>
    <t>Calculation-Reference</t>
  </si>
  <si>
    <t xml:space="preserve">Reference to the details of the calculation of the global y-value; only if thermal bridging is user defined global y-value. </t>
  </si>
  <si>
    <t>SAP-Thermal-Bridge</t>
  </si>
  <si>
    <t xml:space="preserve"> Various measurements for each thermal bridge that makes up a particular Building-Part.</t>
  </si>
  <si>
    <t>Thermal-Bridge-Type</t>
  </si>
  <si>
    <t xml:space="preserve">Code to indicate a particular type of thermal bridge; only if thermal bridge code is: user defined (individual values). </t>
  </si>
  <si>
    <t>Length</t>
  </si>
  <si>
    <t xml:space="preserve">Length of the thermal bridge in metres; only if thermal bridge code is: user defined (individual values). </t>
  </si>
  <si>
    <t>Psi-Value</t>
  </si>
  <si>
    <t xml:space="preserve">Linear thermal transmittance (psi-value); only if thermal bridging is user defined individual values. </t>
  </si>
  <si>
    <t>Psi-Value-Source</t>
  </si>
  <si>
    <t>Psi-Value-Calculation-Reference</t>
  </si>
  <si>
    <t xml:space="preserve">Reference to the details of the calculation of the psi-value. </t>
  </si>
  <si>
    <t xml:space="preserve"> Exposed walls that make up a particular Storey.</t>
  </si>
  <si>
    <t xml:space="preserve"> Various measurements for each wall of a particular storey.</t>
  </si>
  <si>
    <t xml:space="preserve">Unique name which identifies this wall within its storey. Can be just a number, e.g. "1". However, a wall cannot have the same name as an opening or a roof. </t>
  </si>
  <si>
    <t>Descriptive notes about the wall. String value with a language code for natural-language text.</t>
  </si>
  <si>
    <t xml:space="preserve">Type of wall (exposure). </t>
  </si>
  <si>
    <t xml:space="preserve">Total wall area in square metres, inclusive of any openings. </t>
  </si>
  <si>
    <t xml:space="preserve">Exposed wall U-value. </t>
  </si>
  <si>
    <t>Is-Curtain-Walling</t>
  </si>
  <si>
    <t xml:space="preserve">Whether the wall is curtain walling, i.e. a facade construction consisting of a frame of aluminium vertical and horizontal members, infilled with glazing units and opaque panels. </t>
  </si>
  <si>
    <t>SAP-Opening-Types</t>
  </si>
  <si>
    <t xml:space="preserve"> Types of exposed openings that make up a particular property. Opening types are used to capture common features shared by multiple openings, to avoid having to record the same data explicitly for each opening.</t>
  </si>
  <si>
    <t>SAP-Opening-Type</t>
  </si>
  <si>
    <t xml:space="preserve"> Various measurements for a particular type of exposed opening that makes up a particular property. Opening types are used to capture common features shared by multiple openings, to avoid having to record the same data explicitly for each opening.</t>
  </si>
  <si>
    <t xml:space="preserve">Unique name which identifies this opening type. Can be just a number, e.g. "1". </t>
  </si>
  <si>
    <t>Descriptive notes about the opening type. String value with a language code for natural-language text.</t>
  </si>
  <si>
    <t>Data-Source</t>
  </si>
  <si>
    <t xml:space="preserve">The source of the data for this type of opening. </t>
  </si>
  <si>
    <t xml:space="preserve">The (physical) type of opening that this opening type represents. </t>
  </si>
  <si>
    <t>Glazing-Type</t>
  </si>
  <si>
    <t xml:space="preserve">The type of glazing; if U-value is from BFRC or manufacturer declaration, give as one of - single - double - triple. </t>
  </si>
  <si>
    <t>Glazing-Gap</t>
  </si>
  <si>
    <t xml:space="preserve">Gap between glass panes; only if SAP table and double, triple glazed or secondary glazing. </t>
  </si>
  <si>
    <t>IsArgonFilled</t>
  </si>
  <si>
    <t xml:space="preserve">Is the opening argon-filled? Only if SAP table. </t>
  </si>
  <si>
    <t>IsKryptonFilled</t>
  </si>
  <si>
    <t xml:space="preserve">Is the opening krypton-filled? Only if SAP table. </t>
  </si>
  <si>
    <t>Frame-Type</t>
  </si>
  <si>
    <t xml:space="preserve">The type of frame, only if data source is SAP table and it is a window, roof window or half-glazed door. </t>
  </si>
  <si>
    <t>Solar-Transmittance</t>
  </si>
  <si>
    <t xml:space="preserve">The solar transmittance; not if a door. </t>
  </si>
  <si>
    <t>Frame-Factor</t>
  </si>
  <si>
    <t xml:space="preserve">The frame factor; not if a door. </t>
  </si>
  <si>
    <t xml:space="preserve">The U-value. For rooflights, the U-value should be in the horizontal plane. </t>
  </si>
  <si>
    <t>SAP-Ventilation</t>
  </si>
  <si>
    <t xml:space="preserve"> Details of the means by which the building is ventilated</t>
  </si>
  <si>
    <t>Closed-Flues-Count</t>
  </si>
  <si>
    <t xml:space="preserve">The number of Closed Flues or chimneys in the Property. </t>
  </si>
  <si>
    <t>Open-Flues-Count</t>
  </si>
  <si>
    <t xml:space="preserve">The number of Open Flues in the Property. </t>
  </si>
  <si>
    <t>Boilers-Flues-Count</t>
  </si>
  <si>
    <t xml:space="preserve">The number of Boiler Flues or chimneys in the Property. </t>
  </si>
  <si>
    <t>Other-Flues-Count</t>
  </si>
  <si>
    <t xml:space="preserve">The number of Other Flues or chimneys in the Property. </t>
  </si>
  <si>
    <t>Open-Chimneys-Count</t>
  </si>
  <si>
    <t xml:space="preserve">The number of Open Chimneys in the Property. </t>
  </si>
  <si>
    <t>Blocked-Chimneys-Count</t>
  </si>
  <si>
    <t xml:space="preserve">The number of Blocked Chimneys in the Property. </t>
  </si>
  <si>
    <t>Fans-Vents-Count</t>
  </si>
  <si>
    <t>Flueless-Gas-Fires-Count</t>
  </si>
  <si>
    <t xml:space="preserve">The number of flueless gas fires in the Property. </t>
  </si>
  <si>
    <t>Pressure-Test</t>
  </si>
  <si>
    <t xml:space="preserve">Whether there has been a pressure test, or whether an assumed value is used for the air permeability. </t>
  </si>
  <si>
    <t>Pressure-Test-Certificate-Number</t>
  </si>
  <si>
    <t xml:space="preserve">The pressure test certificate number or test engineer reference. </t>
  </si>
  <si>
    <t>Air-Permeability</t>
  </si>
  <si>
    <t xml:space="preserve">Air permeability; only if pressure test (yes or assumed). </t>
  </si>
  <si>
    <t>Ground-Floor-Type</t>
  </si>
  <si>
    <t xml:space="preserve">The type of ground floor; nly if no pressure test. </t>
  </si>
  <si>
    <t xml:space="preserve">The construction of the walls; only if no pressure test. </t>
  </si>
  <si>
    <t>Has-Draught-Lobby</t>
  </si>
  <si>
    <t xml:space="preserve">Is there a draft lobby? Only if no pressure test. </t>
  </si>
  <si>
    <t>DraughtStripping</t>
  </si>
  <si>
    <t xml:space="preserve">Draughtstripping percentage; only if no pressure test. </t>
  </si>
  <si>
    <t>Sheltered-Sides-Count</t>
  </si>
  <si>
    <t xml:space="preserve">The number of sheltered sides in the Property. </t>
  </si>
  <si>
    <t>Ventilation-Type</t>
  </si>
  <si>
    <t xml:space="preserve">The type of ventilation. </t>
  </si>
  <si>
    <t>Mechanical-Ventilation-Data-Source</t>
  </si>
  <si>
    <t xml:space="preserve">Source of mechanical ventilation data; only if mechanical ventilation. </t>
  </si>
  <si>
    <t>Mechanical-Vent-System-Index-Number</t>
  </si>
  <si>
    <t xml:space="preserve">Mechanical vent system index number; if mechanical vent data from database (MEV c, MEV dc, MV, MVHR). </t>
  </si>
  <si>
    <t>Mechanical-Vent-Commissioning-Certificate-Number</t>
  </si>
  <si>
    <t xml:space="preserve">Mechanical ventilation Commissioning certificate number . </t>
  </si>
  <si>
    <t>Mechanical-Vent-Installation-Engineer</t>
  </si>
  <si>
    <t xml:space="preserve">Mechanical ventilation installation engineer registration reference. </t>
  </si>
  <si>
    <t>Mechanical-Vent-System-Make-Model</t>
  </si>
  <si>
    <t xml:space="preserve">Mechanical ventilation system make and model. </t>
  </si>
  <si>
    <t>Wet-Rooms-Count</t>
  </si>
  <si>
    <t xml:space="preserve">Number of wet rooms, including the kitchen; if mech vent data from manufacturer declaration or database (MEV c, MV, MVHR). </t>
  </si>
  <si>
    <t>Mechanical-Vent-Specific-Fan-Power</t>
  </si>
  <si>
    <t xml:space="preserve">Mechanical vent specific fan power in watts per (litres per second); if mechanical vent data (PIV from outside, MEV c or dc, MV, MVHR). </t>
  </si>
  <si>
    <t>Mechanical-Vent-Heat-Recovery-Efficiency</t>
  </si>
  <si>
    <t xml:space="preserve">Mechanical vent heat recovery efficiency percentage; if mechanical vent (MVHR). </t>
  </si>
  <si>
    <t>Mechanical-Vent-Duct-Type</t>
  </si>
  <si>
    <t xml:space="preserve">Mechanical vent duct type; if MEV c, MV or MVHR. </t>
  </si>
  <si>
    <t>Mechanical-Vent-Duct-Insulation</t>
  </si>
  <si>
    <t xml:space="preserve">Mechanical vent duct insulation; if MVHR. </t>
  </si>
  <si>
    <t>Mechanical-Vent-Duct-Insulation-Level</t>
  </si>
  <si>
    <t>Mechanical-Vent-Duct-Placement</t>
  </si>
  <si>
    <t xml:space="preserve">Mechanical ventilation duct insulation; if MVHR. </t>
  </si>
  <si>
    <t>Mechanical-Vent-Measured-Installation</t>
  </si>
  <si>
    <t xml:space="preserve">Mechanical ventilation SPF measured in situ; if MVHR or balanced. </t>
  </si>
  <si>
    <t>Kitchen-Room-Fans-Count</t>
  </si>
  <si>
    <t xml:space="preserve">MEV dc, number of fans in room, kitchen; if mechanical vent data from database or manufacturer declaration (MEV dc). </t>
  </si>
  <si>
    <t>Kitchen-Room-Fans-Specific-Power</t>
  </si>
  <si>
    <t xml:space="preserve">MEV dc, specific fan power of fans in room, kitchen, in watts per (litres per second); if mechanical vent data from manufacturer declaration (MEV dc). </t>
  </si>
  <si>
    <t>Non-Kitchen-Room-Fans-Count</t>
  </si>
  <si>
    <t xml:space="preserve">MEV dc, number of fans in room, rooms other than kitchen; if mechanical vent data from database or manufacturer declaration (MEV dc). </t>
  </si>
  <si>
    <t>Non-Kitchen-Room-Fans-Specific-Power</t>
  </si>
  <si>
    <t xml:space="preserve">MEV dc, specific fan power of fans in room, rooms other than kitchen, in watts per (litres per second); if mechanical vent data from manufacturer declaration (MEV dc). </t>
  </si>
  <si>
    <t>Kitchen-Duct-Fans-Count</t>
  </si>
  <si>
    <t xml:space="preserve">MEV dc, number of fans via duct, kitchen; if mechanical vent data from database or manufacturer declaration (MEV dc). </t>
  </si>
  <si>
    <t>Kitchen-Duct-Fans-Specific-Power</t>
  </si>
  <si>
    <t xml:space="preserve">MEV dc, specific fan power of fans via duct, kitchen, in watts per (litres per second); if mechanical vent data from manufacturer declaration (MEV dc). </t>
  </si>
  <si>
    <t>Non-Kitchen-Duct-Fans-Count</t>
  </si>
  <si>
    <t xml:space="preserve">MEV dc, number of fans via duct, rooms other than kitchen; if mechanical vent data from database or manufacturer declaration (MEV dc). </t>
  </si>
  <si>
    <t>Non-Kitchen-Duct-Fans-Specific-Power</t>
  </si>
  <si>
    <t xml:space="preserve">MEV dc, specific fan power of fans via duct, rooms other than kitchen, in watts per (litres per second); if mechanical vent data from manufacturer declaration (MEV dc). </t>
  </si>
  <si>
    <t>Kitchen-Wall-Fans-Count</t>
  </si>
  <si>
    <t xml:space="preserve">MEV dc, number of fans through wall, kitchen; if mechanical vent data from database or manufacturer declaration (MEV dc). </t>
  </si>
  <si>
    <t>Kitchen-Wall-Fans-Specific-Power</t>
  </si>
  <si>
    <t xml:space="preserve">MEV dc, specific fan power of fans through wall, kitchen, in watts per (litres per second); if mechanical vent data from manufacturer declaration (MEV dc). </t>
  </si>
  <si>
    <t>Non-Kitchen-Wall-Fans-Count</t>
  </si>
  <si>
    <t xml:space="preserve">MEV dc, number of fans through wall, rooms other than kitchen; if mechanical vent data from database or manufacturer declaration (MEV dc). </t>
  </si>
  <si>
    <t>Non-Kitchen-Wall-Fans-Specific-Power</t>
  </si>
  <si>
    <t xml:space="preserve">MEV dc, specific fan power of fans through wall, rooms other than kitchen, in watts per (litres per second); if mechanical vent data from manufacturer declaration (MEV dc). </t>
  </si>
  <si>
    <t>Extract-Fans-Count</t>
  </si>
  <si>
    <t>PSV-Count</t>
  </si>
  <si>
    <t>Is-Mechanical-Vent-Approved-Installer-Scheme</t>
  </si>
  <si>
    <t>Mechanical-Vent-Ducts-Index-Number</t>
  </si>
  <si>
    <t xml:space="preserve">Mechanical vent ducts index number; if applicable. </t>
  </si>
  <si>
    <t>SAP-Lighting</t>
  </si>
  <si>
    <t xml:space="preserve"> Details of the main lighting for the property</t>
  </si>
  <si>
    <t>Fixed-Lights</t>
  </si>
  <si>
    <t>The record of a lighting type within the building. Fixed lighting present in the property.</t>
  </si>
  <si>
    <t>Fixed-Light</t>
  </si>
  <si>
    <t xml:space="preserve"> Various details for each fixed lighting type in the property.</t>
  </si>
  <si>
    <t>Lighting-Efficacy</t>
  </si>
  <si>
    <t xml:space="preserve">The efficacy of the lighting type in lumens/Watt. </t>
  </si>
  <si>
    <t>Lighting-Power</t>
  </si>
  <si>
    <t xml:space="preserve">The power of the selected lighting type in Watts. </t>
  </si>
  <si>
    <t>Lighting-Outlets</t>
  </si>
  <si>
    <t xml:space="preserve">The number of light fitting outlets of that type. </t>
  </si>
  <si>
    <t>SAP-Deselected-Improvements</t>
  </si>
  <si>
    <t xml:space="preserve"> There are 22 possible improvement measures, designated from A to V. This must record measures deselected by DEA (A to V is the full set, only E, N, U and V are considered at the moment for new build).</t>
  </si>
  <si>
    <t>Deselected-Improvement-Measure</t>
  </si>
  <si>
    <t>SAP-Flat-Details</t>
  </si>
  <si>
    <t>Level</t>
  </si>
  <si>
    <t xml:space="preserve">Indication of where a flat is located in a building. </t>
  </si>
  <si>
    <t>Storeys</t>
  </si>
  <si>
    <t xml:space="preserve">Count of number of storeys present in the block of flats. </t>
  </si>
  <si>
    <t>SAP-Special-Features</t>
  </si>
  <si>
    <t>SAP-Special-Feature</t>
  </si>
  <si>
    <t>Energy-Feature</t>
  </si>
  <si>
    <t xml:space="preserve">Energy saved or generated in kWh/year. </t>
  </si>
  <si>
    <t xml:space="preserve">Energy used in kWh/year. </t>
  </si>
  <si>
    <t>Air-Change-Rates</t>
  </si>
  <si>
    <t xml:space="preserve">For Appendix Q procedure that provides air change rates. Only one Special Feature can have data on air change rates. </t>
  </si>
  <si>
    <t>Air-Change-Rate</t>
  </si>
  <si>
    <t>Air-Change-Rate-Month</t>
  </si>
  <si>
    <t>Air-Change-Rate-Value</t>
  </si>
  <si>
    <t xml:space="preserve">Air change rate in month. </t>
  </si>
  <si>
    <t>Emissions-Feature</t>
  </si>
  <si>
    <t>Emissions-Saved</t>
  </si>
  <si>
    <t xml:space="preserve">Emissions saved in kg/year. </t>
  </si>
  <si>
    <t>Emissions-Created</t>
  </si>
  <si>
    <t xml:space="preserve">Additional emissions in kg/year. </t>
  </si>
  <si>
    <t>Design-Water-Use</t>
  </si>
  <si>
    <t xml:space="preserve">Design limit for total water use. </t>
  </si>
  <si>
    <t>SAP-Cooling</t>
  </si>
  <si>
    <t>Cooled-Area</t>
  </si>
  <si>
    <t>Cooling-System-Data-Source</t>
  </si>
  <si>
    <t>Cooling-System-Class</t>
  </si>
  <si>
    <t xml:space="preserve">Data set includes either class or SEER, not both. </t>
  </si>
  <si>
    <t>System-Energy-Efficiency-Ratio</t>
  </si>
  <si>
    <t xml:space="preserve">SEER. </t>
  </si>
  <si>
    <t>PDF</t>
  </si>
  <si>
    <t>b64encode</t>
  </si>
  <si>
    <t xml:space="preserve">DEPRECATED - DO NOT USE This element is allowed for backwards-compatibility but any data sent here will not be read, processed or stored by the register. </t>
  </si>
  <si>
    <t>Insurance-Details</t>
  </si>
  <si>
    <t xml:space="preserve"> Details of the Professional Indemnity Insurance policy used to provide cover against a compensation claim against any particular Home Condition Report. A particular Home Condition Report may be covered by an Professional Indemnity Insurance policy in one of three different ways: * The Home Inspector has personal Professional Indemnity Insurance and the Home Condition Report is covered by this. * The Home Condition Report is covered by an umbrella Professional Indemnity Insurance policy held by the Home Condition Report Supplier that assigned the inspection to the Home Inspector. * An individual insurance policy is taken out to cover the individual report such as the case where the property is unusual and falls outside the Home Inspectors normal Professional Indemnity Insurance policy. A Home Inspector may use any or all of these methods to providing Professional Indemnity Insurance for a Home Condition Report on a case-by-case basis.</t>
  </si>
  <si>
    <t>Insurer</t>
  </si>
  <si>
    <t xml:space="preserve">The name of the insurance company that underwrites / issued the insurance policy </t>
  </si>
  <si>
    <t>Policy-No</t>
  </si>
  <si>
    <t xml:space="preserve">The policy number of the insurance policy </t>
  </si>
  <si>
    <t>Effective-Date</t>
  </si>
  <si>
    <t xml:space="preserve">The date that the insurance policy becomes effective (commences cover) </t>
  </si>
  <si>
    <t>Expiry-Date</t>
  </si>
  <si>
    <t xml:space="preserve">The date that the insurance policy is supposed to expire. </t>
  </si>
  <si>
    <t>PI-Limit</t>
  </si>
  <si>
    <t>The upper limit of the Professional Indemnity cover provided by the insurance policy. Extension of a Decimal value for use with monetary values where a currency code needs to be specified. The currency code is actually metadata about the value so, in line with good XML practice, the Currency Code is declared as an XML-Attribute of the Money datatype rather than as a separate XML-Element. The currency attribute should then include a list of valid currencies codes that are supported.</t>
  </si>
  <si>
    <t>ExternalDefinitions-Revision-Number</t>
  </si>
  <si>
    <t xml:space="preserve">A number indicating the version of related ExternalDefinitions.xsd </t>
  </si>
  <si>
    <t>Client-Name</t>
  </si>
  <si>
    <t xml:space="preserve">Name of the client. External to the EPC schema for GDPR purposes. </t>
  </si>
  <si>
    <t>Client-Company</t>
  </si>
  <si>
    <t xml:space="preserve">Company name of the client. External to the EPC schema for GDPR purposes. </t>
  </si>
  <si>
    <t>Client-Address</t>
  </si>
  <si>
    <t>Address of the client. External to the EPC schema for GDPR purposes. An address is composed of a number of structured elements such as Postcode, Post-Town, Street etc.</t>
  </si>
  <si>
    <t>Is-Multiple-Compliance</t>
  </si>
  <si>
    <t xml:space="preserve">Is the compliance report part of a multiple compliance calculation. </t>
  </si>
  <si>
    <t>https://www.netzeroapis.com/redoc#section/Authorization</t>
  </si>
  <si>
    <t>Please see the information at www.netzeroapis.com to request an authorization token:</t>
  </si>
  <si>
    <t>1 - mains</t>
  </si>
  <si>
    <t>2 - average or unknown</t>
  </si>
  <si>
    <t>2 - ground floor</t>
  </si>
  <si>
    <t>0 - Ground</t>
  </si>
  <si>
    <t>2 - exposed wall</t>
  </si>
  <si>
    <t>1 - natural with intermittent extract fans</t>
  </si>
  <si>
    <t>1 - none</t>
  </si>
  <si>
    <t>1 - Gas: mains gas</t>
  </si>
  <si>
    <t>2 - boiler with radiators or underfloor heating</t>
  </si>
  <si>
    <t>1 - True</t>
  </si>
  <si>
    <t>0 - False</t>
  </si>
  <si>
    <t>1 - radiators</t>
  </si>
  <si>
    <t>3 - from SAP table</t>
  </si>
  <si>
    <t>2 - exposed roof</t>
  </si>
  <si>
    <t>5 - South</t>
  </si>
  <si>
    <t>1 - default</t>
  </si>
  <si>
    <t>4 - window</t>
  </si>
  <si>
    <t>2 - manufacturer declaration</t>
  </si>
  <si>
    <t>3 - double</t>
  </si>
  <si>
    <t>&lt;SAP-Report&gt;</t>
  </si>
  <si>
    <t>SAP WORKSHEET version 10.2 (21-03-2023)</t>
  </si>
  <si>
    <t>SAP and RdSAP 10 software should generate a worksheet in a similar format to that shown in this section (including the item reference numbers) to facilitate checking of calculations and for use where intermediate results are required as inputs in an Appendix Q calculation.</t>
  </si>
  <si>
    <t>This should be easily and immediately available to assessors via software interfaces.</t>
  </si>
  <si>
    <t>1. Overall dwelling dimensions</t>
  </si>
  <si>
    <t>Basement</t>
  </si>
  <si>
    <t>Ground floor</t>
  </si>
  <si>
    <t>First floor</t>
  </si>
  <si>
    <t>Second floor</t>
  </si>
  <si>
    <t>Third floor</t>
  </si>
  <si>
    <t>Other floors (repeat as necessary)</t>
  </si>
  <si>
    <t>Total floor area TFA</t>
  </si>
  <si>
    <t>Dwelling volume</t>
  </si>
  <si>
    <t>(1a)</t>
  </si>
  <si>
    <t>(1b)</t>
  </si>
  <si>
    <t>(1c)</t>
  </si>
  <si>
    <t>(1d)</t>
  </si>
  <si>
    <t>(1e)</t>
  </si>
  <si>
    <t>(1n)</t>
  </si>
  <si>
    <t>(2a)</t>
  </si>
  <si>
    <t>(2b)</t>
  </si>
  <si>
    <t>(2c)</t>
  </si>
  <si>
    <t>(2d)</t>
  </si>
  <si>
    <t>(2e)</t>
  </si>
  <si>
    <t>(2n)</t>
  </si>
  <si>
    <t>=</t>
  </si>
  <si>
    <t>(3a)</t>
  </si>
  <si>
    <t>(3b)</t>
  </si>
  <si>
    <t>(3c)</t>
  </si>
  <si>
    <t>(3d)</t>
  </si>
  <si>
    <t>(3e)</t>
  </si>
  <si>
    <t>(3n)</t>
  </si>
  <si>
    <t>(4)</t>
  </si>
  <si>
    <t>(5)</t>
  </si>
  <si>
    <t>2. Ventilation rate</t>
  </si>
  <si>
    <t>Number of chimneys / flues:</t>
  </si>
  <si>
    <t>- open chimneys</t>
  </si>
  <si>
    <t>- open flues</t>
  </si>
  <si>
    <t>- chinmeys / flues attached to closed fire</t>
  </si>
  <si>
    <t>- flues attached to solid fuel boiler</t>
  </si>
  <si>
    <t>- flues attached to other heater</t>
  </si>
  <si>
    <t>main</t>
  </si>
  <si>
    <t>heating</t>
  </si>
  <si>
    <t>secondary</t>
  </si>
  <si>
    <t>other</t>
  </si>
  <si>
    <t>total</t>
  </si>
  <si>
    <t>+</t>
  </si>
  <si>
    <t>Average storey</t>
  </si>
  <si>
    <t>height (m)</t>
  </si>
  <si>
    <t>hour</t>
  </si>
  <si>
    <t>(6a)</t>
  </si>
  <si>
    <t>(6b)</t>
  </si>
  <si>
    <t>(6c)</t>
  </si>
  <si>
    <t>(6d)</t>
  </si>
  <si>
    <t>(6e)</t>
  </si>
  <si>
    <t>(6f)</t>
  </si>
  <si>
    <t>(7a)</t>
  </si>
  <si>
    <t>(7b)</t>
  </si>
  <si>
    <t>(7c)</t>
  </si>
  <si>
    <t>Number of blocked chimneys</t>
  </si>
  <si>
    <t>Number of intermittent extract fans</t>
  </si>
  <si>
    <t>Number of passive vents</t>
  </si>
  <si>
    <t>Number of flueless gas fires</t>
  </si>
  <si>
    <t>Infiltration due to chimneys, flues, fans, PSVs, etc.</t>
  </si>
  <si>
    <t>÷ (5) =</t>
  </si>
  <si>
    <r>
      <t>m</t>
    </r>
    <r>
      <rPr>
        <vertAlign val="superscript"/>
        <sz val="11"/>
        <color theme="1"/>
        <rFont val="Aptos Narrow"/>
        <family val="2"/>
        <scheme val="minor"/>
      </rPr>
      <t>3</t>
    </r>
    <r>
      <rPr>
        <sz val="11"/>
        <color theme="1"/>
        <rFont val="Aptos Narrow"/>
        <family val="2"/>
        <scheme val="minor"/>
      </rPr>
      <t xml:space="preserve"> per hour</t>
    </r>
  </si>
  <si>
    <t>(8)</t>
  </si>
  <si>
    <t xml:space="preserve"> =</t>
  </si>
  <si>
    <t>(3a)+(3b)+(3c)+(3d)+(3e)…(3n)</t>
  </si>
  <si>
    <t>Number of storeys in the dwelling (ns)</t>
  </si>
  <si>
    <t>Additional infiltration</t>
  </si>
  <si>
    <t>Structural infiltration: 0.25 for steel or timber frame or 0.35 for masonry construction</t>
  </si>
  <si>
    <r>
      <t xml:space="preserve">If a pressurisation test has been carried out or is intended, proceed to </t>
    </r>
    <r>
      <rPr>
        <i/>
        <sz val="11"/>
        <color rgb="FF0066FF"/>
        <rFont val="Aptos Narrow"/>
        <family val="2"/>
        <scheme val="minor"/>
      </rPr>
      <t>(17)</t>
    </r>
    <r>
      <rPr>
        <i/>
        <sz val="11"/>
        <color theme="1"/>
        <rFont val="Aptos Narrow"/>
        <family val="2"/>
        <scheme val="minor"/>
      </rPr>
      <t xml:space="preserve"> , otherwise continue from </t>
    </r>
    <r>
      <rPr>
        <i/>
        <sz val="11"/>
        <color rgb="FF0066FF"/>
        <rFont val="Aptos Narrow"/>
        <family val="2"/>
        <scheme val="minor"/>
      </rPr>
      <t>(9)</t>
    </r>
    <r>
      <rPr>
        <i/>
        <sz val="11"/>
        <color theme="1"/>
        <rFont val="Aptos Narrow"/>
        <family val="2"/>
        <scheme val="minor"/>
      </rPr>
      <t xml:space="preserve"> to</t>
    </r>
    <r>
      <rPr>
        <i/>
        <sz val="11"/>
        <color rgb="FF0066FF"/>
        <rFont val="Aptos Narrow"/>
        <family val="2"/>
        <scheme val="minor"/>
      </rPr>
      <t xml:space="preserve"> (16)</t>
    </r>
  </si>
  <si>
    <r>
      <t xml:space="preserve">(6a)+(6b)+(6c)+(6d)+(6e)+(6f)+(7a)+(7b)+(7c) </t>
    </r>
    <r>
      <rPr>
        <sz val="11"/>
        <color theme="1"/>
        <rFont val="Aptos Narrow"/>
        <family val="2"/>
        <scheme val="minor"/>
      </rPr>
      <t>=</t>
    </r>
  </si>
  <si>
    <r>
      <t>(1a)+(1b)+(1c)+(1d)+(1e)…(1n)</t>
    </r>
    <r>
      <rPr>
        <sz val="11"/>
        <color theme="1"/>
        <rFont val="Aptos Narrow"/>
        <family val="2"/>
        <scheme val="minor"/>
      </rPr>
      <t xml:space="preserve"> =</t>
    </r>
  </si>
  <si>
    <t>(9)</t>
  </si>
  <si>
    <t>(10)</t>
  </si>
  <si>
    <t>(11)</t>
  </si>
  <si>
    <t>if both types of wall are present, use the value corresponding to the greater wall area (after deducting</t>
  </si>
  <si>
    <t>areas of openings); if equal use 0.35</t>
  </si>
  <si>
    <t>If suspended wooden ground floor, enter 0.2 (unsealed) or 0.1 (sealed) , else enter 0</t>
  </si>
  <si>
    <t>If no draught lobby, enter 0.05, else enter 0</t>
  </si>
  <si>
    <t>Percentage of windows and doors draught proofed</t>
  </si>
  <si>
    <t>Window infiltration</t>
  </si>
  <si>
    <t>Infiltration rate</t>
  </si>
  <si>
    <r>
      <t xml:space="preserve">0.25 - [0.2 </t>
    </r>
    <r>
      <rPr>
        <sz val="11"/>
        <color theme="1"/>
        <rFont val="Aptos Narrow"/>
        <family val="2"/>
      </rPr>
      <t>×</t>
    </r>
    <r>
      <rPr>
        <sz val="11"/>
        <color theme="1"/>
        <rFont val="Aptos Narrow"/>
        <family val="2"/>
        <scheme val="minor"/>
      </rPr>
      <t xml:space="preserve"> </t>
    </r>
    <r>
      <rPr>
        <sz val="11"/>
        <color rgb="FF0066FF"/>
        <rFont val="Aptos Narrow"/>
        <family val="2"/>
        <scheme val="minor"/>
      </rPr>
      <t>(14)</t>
    </r>
    <r>
      <rPr>
        <sz val="11"/>
        <color theme="1"/>
        <rFont val="Aptos Narrow"/>
        <family val="2"/>
        <scheme val="minor"/>
      </rPr>
      <t xml:space="preserve"> ÷ 100] =</t>
    </r>
  </si>
  <si>
    <r>
      <rPr>
        <sz val="11"/>
        <color rgb="FF0066FF"/>
        <rFont val="Aptos Narrow"/>
        <family val="2"/>
        <scheme val="minor"/>
      </rPr>
      <t>(8)</t>
    </r>
    <r>
      <rPr>
        <sz val="11"/>
        <color theme="1"/>
        <rFont val="Aptos Narrow"/>
        <family val="2"/>
        <scheme val="minor"/>
      </rPr>
      <t xml:space="preserve"> + </t>
    </r>
    <r>
      <rPr>
        <sz val="11"/>
        <color rgb="FF0066FF"/>
        <rFont val="Aptos Narrow"/>
        <family val="2"/>
        <scheme val="minor"/>
      </rPr>
      <t>(10)</t>
    </r>
    <r>
      <rPr>
        <sz val="11"/>
        <color theme="1"/>
        <rFont val="Aptos Narrow"/>
        <family val="2"/>
        <scheme val="minor"/>
      </rPr>
      <t xml:space="preserve"> + </t>
    </r>
    <r>
      <rPr>
        <sz val="11"/>
        <color rgb="FF0066FF"/>
        <rFont val="Aptos Narrow"/>
        <family val="2"/>
        <scheme val="minor"/>
      </rPr>
      <t>(11)</t>
    </r>
    <r>
      <rPr>
        <sz val="11"/>
        <color theme="1"/>
        <rFont val="Aptos Narrow"/>
        <family val="2"/>
        <scheme val="minor"/>
      </rPr>
      <t xml:space="preserve"> + </t>
    </r>
    <r>
      <rPr>
        <sz val="11"/>
        <color rgb="FF0066FF"/>
        <rFont val="Aptos Narrow"/>
        <family val="2"/>
        <scheme val="minor"/>
      </rPr>
      <t>(12)</t>
    </r>
    <r>
      <rPr>
        <sz val="11"/>
        <color theme="1"/>
        <rFont val="Aptos Narrow"/>
        <family val="2"/>
        <scheme val="minor"/>
      </rPr>
      <t xml:space="preserve"> + </t>
    </r>
    <r>
      <rPr>
        <sz val="11"/>
        <color rgb="FF0066FF"/>
        <rFont val="Aptos Narrow"/>
        <family val="2"/>
        <scheme val="minor"/>
      </rPr>
      <t>(13)</t>
    </r>
    <r>
      <rPr>
        <sz val="11"/>
        <color theme="1"/>
        <rFont val="Aptos Narrow"/>
        <family val="2"/>
        <scheme val="minor"/>
      </rPr>
      <t xml:space="preserve"> + </t>
    </r>
    <r>
      <rPr>
        <sz val="11"/>
        <color rgb="FF0066FF"/>
        <rFont val="Aptos Narrow"/>
        <family val="2"/>
        <scheme val="minor"/>
      </rPr>
      <t>(15)</t>
    </r>
    <r>
      <rPr>
        <sz val="11"/>
        <color theme="1"/>
        <rFont val="Aptos Narrow"/>
        <family val="2"/>
        <scheme val="minor"/>
      </rPr>
      <t xml:space="preserve"> =</t>
    </r>
  </si>
  <si>
    <t>(12)</t>
  </si>
  <si>
    <t>(13)</t>
  </si>
  <si>
    <t>(14)</t>
  </si>
  <si>
    <t>(15)</t>
  </si>
  <si>
    <t>(16)</t>
  </si>
  <si>
    <t>Air permeability value, AP50, (m³/h/m²)</t>
  </si>
  <si>
    <t>Air permeability value, AP4, (m³/h/m²)</t>
  </si>
  <si>
    <t>(17)</t>
  </si>
  <si>
    <t>(17a)</t>
  </si>
  <si>
    <r>
      <t xml:space="preserve">If based on air permeability value at 50 Pa, then </t>
    </r>
    <r>
      <rPr>
        <sz val="11"/>
        <color rgb="FF0066FF"/>
        <rFont val="Aptos Narrow"/>
        <family val="2"/>
        <scheme val="minor"/>
      </rPr>
      <t>(18)</t>
    </r>
    <r>
      <rPr>
        <sz val="11"/>
        <color theme="1"/>
        <rFont val="Aptos Narrow"/>
        <family val="2"/>
        <scheme val="minor"/>
      </rPr>
      <t xml:space="preserve"> = [</t>
    </r>
    <r>
      <rPr>
        <sz val="11"/>
        <color rgb="FF0066FF"/>
        <rFont val="Aptos Narrow"/>
        <family val="2"/>
        <scheme val="minor"/>
      </rPr>
      <t>(17)</t>
    </r>
    <r>
      <rPr>
        <sz val="11"/>
        <color theme="1"/>
        <rFont val="Aptos Narrow"/>
        <family val="2"/>
        <scheme val="minor"/>
      </rPr>
      <t xml:space="preserve"> ÷ 20] +</t>
    </r>
    <r>
      <rPr>
        <sz val="11"/>
        <color rgb="FF0066FF"/>
        <rFont val="Aptos Narrow"/>
        <family val="2"/>
        <scheme val="minor"/>
      </rPr>
      <t xml:space="preserve"> (8)</t>
    </r>
  </si>
  <si>
    <r>
      <t>If based on air permeability value at 4 Pa, then</t>
    </r>
    <r>
      <rPr>
        <sz val="11"/>
        <color rgb="FF0066FF"/>
        <rFont val="Aptos Narrow"/>
        <family val="2"/>
        <scheme val="minor"/>
      </rPr>
      <t xml:space="preserve"> (18)</t>
    </r>
    <r>
      <rPr>
        <sz val="11"/>
        <color theme="1"/>
        <rFont val="Aptos Narrow"/>
        <family val="2"/>
        <scheme val="minor"/>
      </rPr>
      <t xml:space="preserve"> = [0.263 x </t>
    </r>
    <r>
      <rPr>
        <sz val="11"/>
        <color rgb="FF0066FF"/>
        <rFont val="Aptos Narrow"/>
        <family val="2"/>
        <scheme val="minor"/>
      </rPr>
      <t>(17a)</t>
    </r>
    <r>
      <rPr>
        <vertAlign val="superscript"/>
        <sz val="11"/>
        <color theme="1"/>
        <rFont val="Aptos Narrow"/>
        <family val="2"/>
        <scheme val="minor"/>
      </rPr>
      <t>0.924</t>
    </r>
    <r>
      <rPr>
        <sz val="11"/>
        <color theme="1"/>
        <rFont val="Aptos Narrow"/>
        <family val="2"/>
        <scheme val="minor"/>
      </rPr>
      <t xml:space="preserve">] + </t>
    </r>
    <r>
      <rPr>
        <sz val="11"/>
        <color rgb="FF0066FF"/>
        <rFont val="Aptos Narrow"/>
        <family val="2"/>
        <scheme val="minor"/>
      </rPr>
      <t>(8)</t>
    </r>
  </si>
  <si>
    <t>(18)</t>
  </si>
  <si>
    <r>
      <t xml:space="preserve">If no air permeability test data, then </t>
    </r>
    <r>
      <rPr>
        <sz val="11"/>
        <color rgb="FF0066FF"/>
        <rFont val="Aptos Narrow"/>
        <family val="2"/>
        <scheme val="minor"/>
      </rPr>
      <t>(18)</t>
    </r>
    <r>
      <rPr>
        <sz val="11"/>
        <color theme="1"/>
        <rFont val="Aptos Narrow"/>
        <family val="2"/>
        <scheme val="minor"/>
      </rPr>
      <t xml:space="preserve"> =</t>
    </r>
    <r>
      <rPr>
        <sz val="11"/>
        <color rgb="FF0066FF"/>
        <rFont val="Aptos Narrow"/>
        <family val="2"/>
        <scheme val="minor"/>
      </rPr>
      <t xml:space="preserve"> (16)</t>
    </r>
  </si>
  <si>
    <t>Air permeability value applies if a pressurisation test has been done, or a design or specified air permeability is</t>
  </si>
  <si>
    <t>being used</t>
  </si>
  <si>
    <t>Number of sides on which dwelling is sheltered</t>
  </si>
  <si>
    <t>Shelter factor</t>
  </si>
  <si>
    <t>Infiltration rate incorporating shelter factor</t>
  </si>
  <si>
    <t>(19)</t>
  </si>
  <si>
    <t>(20)</t>
  </si>
  <si>
    <t>(21)</t>
  </si>
  <si>
    <r>
      <rPr>
        <sz val="11"/>
        <color rgb="FF0066FF"/>
        <rFont val="Aptos Narrow"/>
        <family val="2"/>
        <scheme val="minor"/>
      </rPr>
      <t>(20)</t>
    </r>
    <r>
      <rPr>
        <sz val="11"/>
        <color theme="1"/>
        <rFont val="Aptos Narrow"/>
        <family val="2"/>
        <scheme val="minor"/>
      </rPr>
      <t xml:space="preserve"> = 1 - [0.075 </t>
    </r>
    <r>
      <rPr>
        <sz val="11"/>
        <color theme="1"/>
        <rFont val="Aptos Narrow"/>
        <family val="2"/>
      </rPr>
      <t>×</t>
    </r>
    <r>
      <rPr>
        <sz val="11"/>
        <color theme="1"/>
        <rFont val="Aptos Narrow"/>
        <family val="2"/>
        <scheme val="minor"/>
      </rPr>
      <t xml:space="preserve"> </t>
    </r>
    <r>
      <rPr>
        <sz val="11"/>
        <color rgb="FF0066FF"/>
        <rFont val="Aptos Narrow"/>
        <family val="2"/>
        <scheme val="minor"/>
      </rPr>
      <t>(19)</t>
    </r>
    <r>
      <rPr>
        <sz val="11"/>
        <color theme="1"/>
        <rFont val="Aptos Narrow"/>
        <family val="2"/>
        <scheme val="minor"/>
      </rPr>
      <t>] =</t>
    </r>
  </si>
  <si>
    <r>
      <rPr>
        <sz val="11"/>
        <color rgb="FF0066FF"/>
        <rFont val="Aptos Narrow"/>
        <family val="2"/>
        <scheme val="minor"/>
      </rPr>
      <t>(21)</t>
    </r>
    <r>
      <rPr>
        <sz val="11"/>
        <color theme="1"/>
        <rFont val="Aptos Narrow"/>
        <family val="2"/>
        <scheme val="minor"/>
      </rPr>
      <t xml:space="preserve"> = </t>
    </r>
    <r>
      <rPr>
        <sz val="11"/>
        <color rgb="FF0066FF"/>
        <rFont val="Aptos Narrow"/>
        <family val="2"/>
        <scheme val="minor"/>
      </rPr>
      <t>(18)</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(20)</t>
    </r>
    <r>
      <rPr>
        <sz val="11"/>
        <color theme="1"/>
        <rFont val="Aptos Narrow"/>
        <family val="2"/>
        <scheme val="minor"/>
      </rPr>
      <t xml:space="preserve"> =</t>
    </r>
  </si>
  <si>
    <r>
      <t>Area (m</t>
    </r>
    <r>
      <rPr>
        <vertAlign val="superscript"/>
        <sz val="11"/>
        <color theme="1"/>
        <rFont val="Aptos Narrow"/>
        <family val="2"/>
        <scheme val="minor"/>
      </rPr>
      <t>2</t>
    </r>
    <r>
      <rPr>
        <sz val="11"/>
        <color theme="1"/>
        <rFont val="Aptos Narrow"/>
        <family val="2"/>
        <scheme val="minor"/>
      </rPr>
      <t>)</t>
    </r>
  </si>
  <si>
    <r>
      <t>Volume (m</t>
    </r>
    <r>
      <rPr>
        <vertAlign val="superscript"/>
        <sz val="11"/>
        <color theme="1"/>
        <rFont val="Aptos Narrow"/>
        <family val="2"/>
        <scheme val="minor"/>
      </rPr>
      <t>3</t>
    </r>
    <r>
      <rPr>
        <sz val="11"/>
        <color theme="1"/>
        <rFont val="Aptos Narrow"/>
        <family val="2"/>
        <scheme val="minor"/>
      </rPr>
      <t>)</t>
    </r>
  </si>
  <si>
    <r>
      <t>m</t>
    </r>
    <r>
      <rPr>
        <vertAlign val="superscript"/>
        <sz val="11"/>
        <color theme="1"/>
        <rFont val="Aptos Narrow"/>
        <family val="2"/>
        <scheme val="minor"/>
      </rPr>
      <t>3</t>
    </r>
    <r>
      <rPr>
        <sz val="11"/>
        <color theme="1"/>
        <rFont val="Aptos Narrow"/>
        <family val="2"/>
        <scheme val="minor"/>
      </rPr>
      <t xml:space="preserve"> per</t>
    </r>
  </si>
  <si>
    <t>Air changes per hour</t>
  </si>
  <si>
    <t>Infiltration rate modified for monthly wind speed:</t>
  </si>
  <si>
    <t>Monthly average wind speed from Table U2</t>
  </si>
  <si>
    <t>Jan</t>
  </si>
  <si>
    <t>Feb</t>
  </si>
  <si>
    <t>Mar</t>
  </si>
  <si>
    <t>Apr</t>
  </si>
  <si>
    <t>May</t>
  </si>
  <si>
    <t>Jun</t>
  </si>
  <si>
    <t>Jul</t>
  </si>
  <si>
    <t>Aug</t>
  </si>
  <si>
    <t>Sep</t>
  </si>
  <si>
    <t>Oct</t>
  </si>
  <si>
    <t>Nov</t>
  </si>
  <si>
    <t>Dec</t>
  </si>
  <si>
    <r>
      <t>(22)</t>
    </r>
    <r>
      <rPr>
        <vertAlign val="subscript"/>
        <sz val="11"/>
        <color theme="1"/>
        <rFont val="Aptos Narrow"/>
        <family val="2"/>
        <scheme val="minor"/>
      </rPr>
      <t>m</t>
    </r>
    <r>
      <rPr>
        <sz val="11"/>
        <color theme="1"/>
        <rFont val="Aptos Narrow"/>
        <family val="2"/>
        <scheme val="minor"/>
      </rPr>
      <t xml:space="preserve"> =</t>
    </r>
  </si>
  <si>
    <r>
      <t>(22a)</t>
    </r>
    <r>
      <rPr>
        <vertAlign val="subscript"/>
        <sz val="11"/>
        <color theme="1"/>
        <rFont val="Aptos Narrow"/>
        <family val="2"/>
        <scheme val="minor"/>
      </rPr>
      <t>m</t>
    </r>
    <r>
      <rPr>
        <sz val="11"/>
        <color theme="1"/>
        <rFont val="Aptos Narrow"/>
        <family val="2"/>
        <scheme val="minor"/>
      </rPr>
      <t xml:space="preserve"> =</t>
    </r>
  </si>
  <si>
    <r>
      <t xml:space="preserve">Adjusted infiltration rate (allowing for shelter and wind speed) = </t>
    </r>
    <r>
      <rPr>
        <sz val="11"/>
        <color rgb="FF0066FF"/>
        <rFont val="Aptos Narrow"/>
        <family val="2"/>
        <scheme val="minor"/>
      </rPr>
      <t>(21)</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(22a)</t>
    </r>
    <r>
      <rPr>
        <vertAlign val="subscript"/>
        <sz val="11"/>
        <color rgb="FF0066FF"/>
        <rFont val="Aptos Narrow"/>
        <family val="2"/>
        <scheme val="minor"/>
      </rPr>
      <t>m</t>
    </r>
  </si>
  <si>
    <r>
      <t xml:space="preserve">Wind Factor </t>
    </r>
    <r>
      <rPr>
        <sz val="11"/>
        <color rgb="FF0066FF"/>
        <rFont val="Aptos Narrow"/>
        <family val="2"/>
        <scheme val="minor"/>
      </rPr>
      <t>(22a)</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(22)</t>
    </r>
    <r>
      <rPr>
        <vertAlign val="subscript"/>
        <sz val="11"/>
        <color rgb="FF0066FF"/>
        <rFont val="Aptos Narrow"/>
        <family val="2"/>
        <scheme val="minor"/>
      </rPr>
      <t>m</t>
    </r>
    <r>
      <rPr>
        <sz val="11"/>
        <color theme="1"/>
        <rFont val="Aptos Narrow"/>
        <family val="2"/>
        <scheme val="minor"/>
      </rPr>
      <t xml:space="preserve"> ÷ 4</t>
    </r>
  </si>
  <si>
    <r>
      <t>(22b)</t>
    </r>
    <r>
      <rPr>
        <vertAlign val="subscript"/>
        <sz val="11"/>
        <color theme="1"/>
        <rFont val="Aptos Narrow"/>
        <family val="2"/>
        <scheme val="minor"/>
      </rPr>
      <t>m</t>
    </r>
    <r>
      <rPr>
        <sz val="11"/>
        <color theme="1"/>
        <rFont val="Aptos Narrow"/>
        <family val="2"/>
        <scheme val="minor"/>
      </rPr>
      <t xml:space="preserve"> =</t>
    </r>
  </si>
  <si>
    <t>Calculate effective air change rate for the applicable case:</t>
  </si>
  <si>
    <t>If mechanical ventilation: air change rate through system</t>
  </si>
  <si>
    <t>(23a)</t>
  </si>
  <si>
    <t>(24a)</t>
  </si>
  <si>
    <t>(23b)</t>
  </si>
  <si>
    <t>If balanced with heat recovery: efficiency in % allowing for in-use factor (from PCDB) =</t>
  </si>
  <si>
    <t>(23c)</t>
  </si>
  <si>
    <r>
      <t>(24a)</t>
    </r>
    <r>
      <rPr>
        <vertAlign val="subscript"/>
        <sz val="11"/>
        <color theme="1"/>
        <rFont val="Aptos Narrow"/>
        <family val="2"/>
        <scheme val="minor"/>
      </rPr>
      <t>m</t>
    </r>
    <r>
      <rPr>
        <sz val="11"/>
        <color theme="1"/>
        <rFont val="Aptos Narrow"/>
        <family val="2"/>
        <scheme val="minor"/>
      </rPr>
      <t xml:space="preserve"> =</t>
    </r>
  </si>
  <si>
    <r>
      <t xml:space="preserve">If exhaust air heat pump using Appendix N, </t>
    </r>
    <r>
      <rPr>
        <sz val="11"/>
        <color rgb="FF0066FF"/>
        <rFont val="Aptos Narrow"/>
        <family val="2"/>
        <scheme val="minor"/>
      </rPr>
      <t>(23b)</t>
    </r>
    <r>
      <rPr>
        <sz val="11"/>
        <color theme="1"/>
        <rFont val="Aptos Narrow"/>
        <family val="2"/>
        <scheme val="minor"/>
      </rPr>
      <t xml:space="preserve"> = </t>
    </r>
    <r>
      <rPr>
        <sz val="11"/>
        <color rgb="FF0066FF"/>
        <rFont val="Aptos Narrow"/>
        <family val="2"/>
        <scheme val="minor"/>
      </rPr>
      <t>(23a)</t>
    </r>
    <r>
      <rPr>
        <sz val="11"/>
        <color theme="1"/>
        <rFont val="Aptos Narrow"/>
        <family val="2"/>
        <scheme val="minor"/>
      </rPr>
      <t xml:space="preserve"> × F mv (equation (N4)) , otherwise</t>
    </r>
    <r>
      <rPr>
        <sz val="11"/>
        <color rgb="FF0066FF"/>
        <rFont val="Aptos Narrow"/>
        <family val="2"/>
        <scheme val="minor"/>
      </rPr>
      <t xml:space="preserve"> (23b)</t>
    </r>
    <r>
      <rPr>
        <sz val="11"/>
        <color theme="1"/>
        <rFont val="Aptos Narrow"/>
        <family val="2"/>
        <scheme val="minor"/>
      </rPr>
      <t xml:space="preserve"> = </t>
    </r>
    <r>
      <rPr>
        <sz val="11"/>
        <color rgb="FF0066FF"/>
        <rFont val="Aptos Narrow"/>
        <family val="2"/>
        <scheme val="minor"/>
      </rPr>
      <t>(23a)</t>
    </r>
  </si>
  <si>
    <r>
      <t xml:space="preserve">a) If balanced mechanical ventilation with heat recovery (MVHR) </t>
    </r>
    <r>
      <rPr>
        <sz val="11"/>
        <color rgb="FF0066FF"/>
        <rFont val="Aptos Narrow"/>
        <family val="2"/>
        <scheme val="minor"/>
      </rPr>
      <t>(24a)</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(23b)</t>
    </r>
    <r>
      <rPr>
        <sz val="11"/>
        <color theme="1"/>
        <rFont val="Aptos Narrow"/>
        <family val="2"/>
        <scheme val="minor"/>
      </rPr>
      <t xml:space="preserve"> × [1 – </t>
    </r>
    <r>
      <rPr>
        <sz val="11"/>
        <color rgb="FF0066FF"/>
        <rFont val="Aptos Narrow"/>
        <family val="2"/>
        <scheme val="minor"/>
      </rPr>
      <t>(23c)</t>
    </r>
    <r>
      <rPr>
        <sz val="11"/>
        <color theme="1"/>
        <rFont val="Aptos Narrow"/>
        <family val="2"/>
        <scheme val="minor"/>
      </rPr>
      <t xml:space="preserve"> ÷ 100]</t>
    </r>
  </si>
  <si>
    <t>c) If whole house extract ventilation or positive input ventilation from outside</t>
  </si>
  <si>
    <t>d) If natural ventilation or whole house positive input ventilation from loft</t>
  </si>
  <si>
    <t>For mechanical ventilation systems providing variable air change rates, the monthly rate held in the PCDB or</t>
  </si>
  <si>
    <t>Appendix Q data and should instead be used:</t>
  </si>
  <si>
    <t>Effective air change rate from PCDB:</t>
  </si>
  <si>
    <r>
      <t>(24b)</t>
    </r>
    <r>
      <rPr>
        <vertAlign val="subscript"/>
        <sz val="11"/>
        <color theme="1"/>
        <rFont val="Aptos Narrow"/>
        <family val="2"/>
        <scheme val="minor"/>
      </rPr>
      <t>m</t>
    </r>
    <r>
      <rPr>
        <sz val="11"/>
        <color theme="1"/>
        <rFont val="Aptos Narrow"/>
        <family val="2"/>
        <scheme val="minor"/>
      </rPr>
      <t xml:space="preserve"> =</t>
    </r>
  </si>
  <si>
    <t>(24b)</t>
  </si>
  <si>
    <r>
      <t>(24c)</t>
    </r>
    <r>
      <rPr>
        <vertAlign val="subscript"/>
        <sz val="11"/>
        <color theme="1"/>
        <rFont val="Aptos Narrow"/>
        <family val="2"/>
        <scheme val="minor"/>
      </rPr>
      <t>m</t>
    </r>
    <r>
      <rPr>
        <sz val="11"/>
        <color theme="1"/>
        <rFont val="Aptos Narrow"/>
        <family val="2"/>
        <scheme val="minor"/>
      </rPr>
      <t xml:space="preserve"> =</t>
    </r>
  </si>
  <si>
    <t>(24c)</t>
  </si>
  <si>
    <r>
      <t>(24d)</t>
    </r>
    <r>
      <rPr>
        <vertAlign val="subscript"/>
        <sz val="11"/>
        <color theme="1"/>
        <rFont val="Aptos Narrow"/>
        <family val="2"/>
        <scheme val="minor"/>
      </rPr>
      <t>m</t>
    </r>
    <r>
      <rPr>
        <sz val="11"/>
        <color theme="1"/>
        <rFont val="Aptos Narrow"/>
        <family val="2"/>
        <scheme val="minor"/>
      </rPr>
      <t xml:space="preserve"> =</t>
    </r>
  </si>
  <si>
    <t>(24d)</t>
  </si>
  <si>
    <r>
      <t>(25)</t>
    </r>
    <r>
      <rPr>
        <vertAlign val="subscript"/>
        <sz val="11"/>
        <color theme="1"/>
        <rFont val="Aptos Narrow"/>
        <family val="2"/>
        <scheme val="minor"/>
      </rPr>
      <t>m</t>
    </r>
    <r>
      <rPr>
        <sz val="11"/>
        <color theme="1"/>
        <rFont val="Aptos Narrow"/>
        <family val="2"/>
        <scheme val="minor"/>
      </rPr>
      <t xml:space="preserve"> =</t>
    </r>
  </si>
  <si>
    <t>(25)</t>
  </si>
  <si>
    <t>number_of_codes</t>
  </si>
  <si>
    <t>code_0</t>
  </si>
  <si>
    <t>code_1</t>
  </si>
  <si>
    <t>code_2</t>
  </si>
  <si>
    <t>code_3</t>
  </si>
  <si>
    <t>code_4</t>
  </si>
  <si>
    <t>code_5</t>
  </si>
  <si>
    <t>code_6</t>
  </si>
  <si>
    <t>code_7</t>
  </si>
  <si>
    <t>code_8</t>
  </si>
  <si>
    <t>code_9</t>
  </si>
  <si>
    <t>code_10</t>
  </si>
  <si>
    <t>code_11</t>
  </si>
  <si>
    <t>code_12</t>
  </si>
  <si>
    <t>code_13</t>
  </si>
  <si>
    <t>code_14</t>
  </si>
  <si>
    <t>code_15</t>
  </si>
  <si>
    <t>code_16</t>
  </si>
  <si>
    <t>code_17</t>
  </si>
  <si>
    <t>code_18</t>
  </si>
  <si>
    <t>code_19</t>
  </si>
  <si>
    <t>code_20</t>
  </si>
  <si>
    <t>code_21</t>
  </si>
  <si>
    <t>code_22</t>
  </si>
  <si>
    <t>code_23</t>
  </si>
  <si>
    <t>code_24</t>
  </si>
  <si>
    <t>code_25</t>
  </si>
  <si>
    <t>code_26</t>
  </si>
  <si>
    <t>code_27</t>
  </si>
  <si>
    <t>code_28</t>
  </si>
  <si>
    <t>code_29</t>
  </si>
  <si>
    <t>code_30</t>
  </si>
  <si>
    <t>code_31</t>
  </si>
  <si>
    <t>code_32</t>
  </si>
  <si>
    <t>code_33</t>
  </si>
  <si>
    <t>code_34</t>
  </si>
  <si>
    <t>code_35</t>
  </si>
  <si>
    <t>code_36</t>
  </si>
  <si>
    <t>code_37</t>
  </si>
  <si>
    <t>code_38</t>
  </si>
  <si>
    <t>code_39</t>
  </si>
  <si>
    <t>code_40</t>
  </si>
  <si>
    <t>code_41</t>
  </si>
  <si>
    <t>code_42</t>
  </si>
  <si>
    <t>code_43</t>
  </si>
  <si>
    <t>code_44</t>
  </si>
  <si>
    <t>code_45</t>
  </si>
  <si>
    <t>code_46</t>
  </si>
  <si>
    <t>code_47</t>
  </si>
  <si>
    <t>code_48</t>
  </si>
  <si>
    <t>code_49</t>
  </si>
  <si>
    <t>code_50</t>
  </si>
  <si>
    <t>code_51</t>
  </si>
  <si>
    <t>code_52</t>
  </si>
  <si>
    <t>code_53</t>
  </si>
  <si>
    <t>code_54</t>
  </si>
  <si>
    <t>code_55</t>
  </si>
  <si>
    <t>code_56</t>
  </si>
  <si>
    <t>code_57</t>
  </si>
  <si>
    <t>code_58</t>
  </si>
  <si>
    <t>code_59</t>
  </si>
  <si>
    <t>code_60</t>
  </si>
  <si>
    <t>code_61</t>
  </si>
  <si>
    <t>code_62</t>
  </si>
  <si>
    <t>code_63</t>
  </si>
  <si>
    <t>code_64</t>
  </si>
  <si>
    <t>code_65</t>
  </si>
  <si>
    <t>code_66</t>
  </si>
  <si>
    <t>code_67</t>
  </si>
  <si>
    <t>code_68</t>
  </si>
  <si>
    <t>code_69</t>
  </si>
  <si>
    <t>code_70</t>
  </si>
  <si>
    <t>code_71</t>
  </si>
  <si>
    <t>code_72</t>
  </si>
  <si>
    <t>code_73</t>
  </si>
  <si>
    <t>code_74</t>
  </si>
  <si>
    <t>code_75</t>
  </si>
  <si>
    <t>code_76</t>
  </si>
  <si>
    <t>code_77</t>
  </si>
  <si>
    <t>code_78</t>
  </si>
  <si>
    <t>code_79</t>
  </si>
  <si>
    <t>code_80</t>
  </si>
  <si>
    <t>code_81</t>
  </si>
  <si>
    <t>code_82</t>
  </si>
  <si>
    <t>code_83</t>
  </si>
  <si>
    <t>code_84</t>
  </si>
  <si>
    <t>code_85</t>
  </si>
  <si>
    <t>code_86</t>
  </si>
  <si>
    <t>code_87</t>
  </si>
  <si>
    <t>code_88</t>
  </si>
  <si>
    <t>code_89</t>
  </si>
  <si>
    <t>code_90</t>
  </si>
  <si>
    <t>code_91</t>
  </si>
  <si>
    <t>code_92</t>
  </si>
  <si>
    <t>code_93</t>
  </si>
  <si>
    <t>code_94</t>
  </si>
  <si>
    <t>code_95</t>
  </si>
  <si>
    <t>code_96</t>
  </si>
  <si>
    <t>code_97</t>
  </si>
  <si>
    <t>code_98</t>
  </si>
  <si>
    <t>code_99</t>
  </si>
  <si>
    <t>9.80 - SAP 2005 version 9.80, dated October 2005</t>
  </si>
  <si>
    <t>9.81 - SAP version 9.81, dated January 2008</t>
  </si>
  <si>
    <t>9.82 - SAP version 9.82, dated Jun 2008</t>
  </si>
  <si>
    <t>9.83 - SAP version 9.83, dated Jun 2009</t>
  </si>
  <si>
    <t>9.90 - SAP version 9.90, dated Mar 2010</t>
  </si>
  <si>
    <t>9.91 - SAP version 9.91, dated Jan 2012</t>
  </si>
  <si>
    <t>9.92 - SAP version 9.92, dated Oct 2013</t>
  </si>
  <si>
    <t>10.2 - SAP version 10.2, dated Oct 2020</t>
  </si>
  <si>
    <t>1 - Home Condition Report</t>
  </si>
  <si>
    <t>2 - RdSAP Energy Performance Certificate</t>
  </si>
  <si>
    <t>3 - SAP Energy Performance Certificate</t>
  </si>
  <si>
    <t>4 - Interim RdSAP Energy Performance Certificate (to be superseded by SAP EPC)</t>
  </si>
  <si>
    <t>cancelled - Cancelled</t>
  </si>
  <si>
    <t>entered - entered on the register</t>
  </si>
  <si>
    <t>appeal - under appeal</t>
  </si>
  <si>
    <t>removed - removed</t>
  </si>
  <si>
    <t>rejected - rejected</t>
  </si>
  <si>
    <t>under investigation - under investigation</t>
  </si>
  <si>
    <t>not for issue - not for issue</t>
  </si>
  <si>
    <t>1 - English</t>
  </si>
  <si>
    <t>2 - Welsh</t>
  </si>
  <si>
    <t>1 - owner-occupied</t>
  </si>
  <si>
    <t>2 - rented (social)</t>
  </si>
  <si>
    <t>3 - rented (private)</t>
  </si>
  <si>
    <t>ND - unknown</t>
  </si>
  <si>
    <t>1 - marketed sale</t>
  </si>
  <si>
    <t>2 - non marketed sale</t>
  </si>
  <si>
    <t>3 - rental (social) - this is for backwards compatibility only and should not be used</t>
  </si>
  <si>
    <t>4 - rental (private) - this is for backwards compatibility only and should not be used</t>
  </si>
  <si>
    <t>5 - none of the above</t>
  </si>
  <si>
    <t>6 - new dwelling</t>
  </si>
  <si>
    <t>7 - not recorded - this is for backwards compatibility only and should not be used</t>
  </si>
  <si>
    <t>8 - rental</t>
  </si>
  <si>
    <t>9 - assessment for green deal</t>
  </si>
  <si>
    <t>10 - following green deal</t>
  </si>
  <si>
    <t>11 - FiT application</t>
  </si>
  <si>
    <t>Y - Yes</t>
  </si>
  <si>
    <t>N - No</t>
  </si>
  <si>
    <t>0 - House</t>
  </si>
  <si>
    <t>1 - Bungalow</t>
  </si>
  <si>
    <t>2 - Flat</t>
  </si>
  <si>
    <t>3 - Maisonette</t>
  </si>
  <si>
    <t>4 - Park home</t>
  </si>
  <si>
    <t>1 - Borders</t>
  </si>
  <si>
    <t>2 - East Anglia</t>
  </si>
  <si>
    <t>3 - East Pennines</t>
  </si>
  <si>
    <t>4 - East Scotland</t>
  </si>
  <si>
    <t>5 - Highland</t>
  </si>
  <si>
    <t>6 - Midlands</t>
  </si>
  <si>
    <t>7 - North East England</t>
  </si>
  <si>
    <t>8 - North East Scotland</t>
  </si>
  <si>
    <t>9 - North West England / South West Scotland</t>
  </si>
  <si>
    <t>10 - Northern Ireland</t>
  </si>
  <si>
    <t>11 - Orkney</t>
  </si>
  <si>
    <t>12 - Severn Valley</t>
  </si>
  <si>
    <t>13 - Shetland</t>
  </si>
  <si>
    <t>14 - South East England</t>
  </si>
  <si>
    <t>15 - South West England</t>
  </si>
  <si>
    <t>16 - Southern England</t>
  </si>
  <si>
    <t>17 - Thames Valley</t>
  </si>
  <si>
    <t>18 - Wales</t>
  </si>
  <si>
    <t>19 - West Pennines</t>
  </si>
  <si>
    <t>20 - West Scotland</t>
  </si>
  <si>
    <t>21 - Western Isles</t>
  </si>
  <si>
    <t>22 - Jersey</t>
  </si>
  <si>
    <t>23 - Guernsey</t>
  </si>
  <si>
    <t>24 - Isle of Man</t>
  </si>
  <si>
    <t>EAW - England and Wales, for backwards compatibility only.</t>
  </si>
  <si>
    <t>ENG - England</t>
  </si>
  <si>
    <t>WLS - Wales</t>
  </si>
  <si>
    <t>SCT - Scotland</t>
  </si>
  <si>
    <t>NIR - Northern Ireland</t>
  </si>
  <si>
    <t>1 - No related party</t>
  </si>
  <si>
    <t>2 - Relative of homeowner or of occupier of the property</t>
  </si>
  <si>
    <t>3 - Residing at the property</t>
  </si>
  <si>
    <t>4 - Financial interest in the property</t>
  </si>
  <si>
    <t>5 - Owner or Director of the organisation dealing with the property transaction</t>
  </si>
  <si>
    <t>6 - Employed by the professional dealing with the property transaction</t>
  </si>
  <si>
    <t>7 - Relative of the professional dealing with the property transaction</t>
  </si>
  <si>
    <t>0 - N/A</t>
  </si>
  <si>
    <t>1 - Very Poor</t>
  </si>
  <si>
    <t>2 - Poor</t>
  </si>
  <si>
    <t>3 - Average</t>
  </si>
  <si>
    <t>4 - Good</t>
  </si>
  <si>
    <t>5 - Very Good</t>
  </si>
  <si>
    <t>true - True</t>
  </si>
  <si>
    <t>false - False</t>
  </si>
  <si>
    <t>1 - Lower cost - this is for backwards compatibility only and should not be used</t>
  </si>
  <si>
    <t>2 - Higher cost - this is for backwards compatibility only and should not be used</t>
  </si>
  <si>
    <t>3 - Further measure - this is for backwards compatibility only and should not be used</t>
  </si>
  <si>
    <t>4 - Deselected. This is for backwards compatibility only and should not be used.</t>
  </si>
  <si>
    <t>5 - Normal measure</t>
  </si>
  <si>
    <t>6 - Alternative measure</t>
  </si>
  <si>
    <t>A - Loft insulation</t>
  </si>
  <si>
    <t>A2 - Flat roof insulation</t>
  </si>
  <si>
    <t>A3 - Room-in-roof insulation</t>
  </si>
  <si>
    <t>B - Cavity wall insulation</t>
  </si>
  <si>
    <t>C - Hot water cylinder insulation</t>
  </si>
  <si>
    <t>D - Draughtproofing</t>
  </si>
  <si>
    <t>E - Low energy lights</t>
  </si>
  <si>
    <t>F - Cylinder thermostat</t>
  </si>
  <si>
    <t>G - Heating controls for wet central heating system</t>
  </si>
  <si>
    <t>H - Heating controls for warm air system</t>
  </si>
  <si>
    <t>I - Upgrade boiler, same fuel</t>
  </si>
  <si>
    <t>J - Biomass boiler</t>
  </si>
  <si>
    <t>J2 - Biomass boiler as alternative improvement</t>
  </si>
  <si>
    <t>K - Biomass room heater with boiler</t>
  </si>
  <si>
    <t>L - New or replacement fan-assisted storage heaters</t>
  </si>
  <si>
    <t>L2 - New or replacement high heat retention storage heaters</t>
  </si>
  <si>
    <t>M - Replacement warm-air unit</t>
  </si>
  <si>
    <t>N - Solar water heating</t>
  </si>
  <si>
    <t>O - Replacement double glazed windows</t>
  </si>
  <si>
    <t>O3 - Replacement double glazing units</t>
  </si>
  <si>
    <t>P - Secondary glazing</t>
  </si>
  <si>
    <t>Q - Solid wall insulation</t>
  </si>
  <si>
    <t>Q2 - External insulation with cavity wall insulation</t>
  </si>
  <si>
    <t>R - Condensing oil boiler</t>
  </si>
  <si>
    <t>S - Change heating to Band A gas condensing boiler (no fuel switch)</t>
  </si>
  <si>
    <t>T - Change heating to Band A gas condensing boiler (fuel switch)</t>
  </si>
  <si>
    <t>T2 - Flue gas heat recovery</t>
  </si>
  <si>
    <t>U - Photovoltaics</t>
  </si>
  <si>
    <t>V - Wind turbine (roof mounted)</t>
  </si>
  <si>
    <t>V2 - Wind turbine (on mast)</t>
  </si>
  <si>
    <t>W - Floor insulation</t>
  </si>
  <si>
    <t>X - Insulated doors</t>
  </si>
  <si>
    <t>Y - Instantaneous waste water heat recovery</t>
  </si>
  <si>
    <t>Y2 - Storage waste water heat recovery</t>
  </si>
  <si>
    <t>Z1 - Air or ground source heat pump</t>
  </si>
  <si>
    <t>Z2 - Air or ground source heat pump with underfloor heating</t>
  </si>
  <si>
    <t>Z3 - Micro-CHP</t>
  </si>
  <si>
    <t>1 - Insulate hot water cylinder with 80 mm jacket</t>
  </si>
  <si>
    <t>2 - Increase hot water cylinder insulation</t>
  </si>
  <si>
    <t>3 - Add additional 80 mm jacket to hot water cylinder</t>
  </si>
  <si>
    <t>4 - Hot water cylinder thermostat</t>
  </si>
  <si>
    <t>5 - Increase loft insulation to 270 mm</t>
  </si>
  <si>
    <t>6 - Cavity wall insulation</t>
  </si>
  <si>
    <t>7 - Internal or external wall insulation</t>
  </si>
  <si>
    <t>8 - Replace single glazed windows with low-E double glazing</t>
  </si>
  <si>
    <t>9 - Secondary glazing to single glazed windows</t>
  </si>
  <si>
    <t>10 - Draught proofing</t>
  </si>
  <si>
    <t>11 - Heating controls (programmer, room thermostat and TRVs)</t>
  </si>
  <si>
    <t>12 - Heating controls (room thermostat and TRVs)</t>
  </si>
  <si>
    <t>13 - Heating controls (thermostatic radiator valves)</t>
  </si>
  <si>
    <t>14 - Heating controls (room thermostat)</t>
  </si>
  <si>
    <t>15 - Heating controls (programmer and TRVs)</t>
  </si>
  <si>
    <t>16 - Heating controls (time and temperature zone control)</t>
  </si>
  <si>
    <t>17 - Heating controls (programmer and room thermostat)</t>
  </si>
  <si>
    <t>18 - Heating controls (room thermostat)</t>
  </si>
  <si>
    <t>19 - Solar water heating</t>
  </si>
  <si>
    <t>20 - Replace boiler with new condensing boiler</t>
  </si>
  <si>
    <t>21 - Replace boiler with new condensing boiler</t>
  </si>
  <si>
    <t>22 - Replace boiler with biomass boiler</t>
  </si>
  <si>
    <t>23 - Wood pellet stove with boiler and radiators</t>
  </si>
  <si>
    <t>24 - Fan assisted storage heaters and dual immersion cylinder</t>
  </si>
  <si>
    <t>25 - Fan assisted storage heaters</t>
  </si>
  <si>
    <t>26 - Replacement warm air unit</t>
  </si>
  <si>
    <t>27 - Change heating to gas condensing boiler</t>
  </si>
  <si>
    <t>28 - Condensing oil boiler with radiators</t>
  </si>
  <si>
    <t>29 - Change heating to gas condensing boiler</t>
  </si>
  <si>
    <t>30 - Fan assisted storage heaters and dual immersion cylinder</t>
  </si>
  <si>
    <t>31 - Fan-assisted storage heaters</t>
  </si>
  <si>
    <t>32 - Change heating to gas condensing boiler</t>
  </si>
  <si>
    <t>34 - Solar photovoltaic panels, 2.5 kWp</t>
  </si>
  <si>
    <t>35 - Low energy lighting for all fixed outlets</t>
  </si>
  <si>
    <t>36 - Replace heating unit with condensing unit</t>
  </si>
  <si>
    <t>37 - Condensing boiler (separate from the range cooker)</t>
  </si>
  <si>
    <t>38 - Condensing boiler (separate from the range cooker)</t>
  </si>
  <si>
    <t>39 - Wood pellet stove with boiler and radiators</t>
  </si>
  <si>
    <t>40 - Change room heaters to condensing boiler</t>
  </si>
  <si>
    <t>41 - Change room heaters to condensing boiler</t>
  </si>
  <si>
    <t>42 - Replace heating unit with mains gas condensing unit</t>
  </si>
  <si>
    <t>43 - Condensing oil boiler with radiators</t>
  </si>
  <si>
    <t>44 - Wind turbine</t>
  </si>
  <si>
    <t>45 - Flat roof insulation</t>
  </si>
  <si>
    <t>46 - Room-in-roof insulation</t>
  </si>
  <si>
    <t>47 - Floor insulation</t>
  </si>
  <si>
    <t>48 - High performance external doors</t>
  </si>
  <si>
    <t>49 - Heat recovery system for mixer showers</t>
  </si>
  <si>
    <t>50 - Flue gas heat recovery device in conjunction with boiler</t>
  </si>
  <si>
    <t>51 - Air or ground source heat pump</t>
  </si>
  <si>
    <t>52 - Air or ground source heat pump with underfloor heating</t>
  </si>
  <si>
    <t>53 - Micro CHP</t>
  </si>
  <si>
    <t>54 - Biomass boiler (Exempted Appliance if in Smoke Control Area)</t>
  </si>
  <si>
    <t>55 - External insulation with cavity wall insulation</t>
  </si>
  <si>
    <t>1 - 1. Not eligible for Green Deal</t>
  </si>
  <si>
    <t>2 - 2. Eligible with additional finance</t>
  </si>
  <si>
    <t>3 - 3. Eligible without additional finance</t>
  </si>
  <si>
    <t>NI - Not assessed. Use for alternative measures and for new dwelling EPCs</t>
  </si>
  <si>
    <t>1 - Biofuel main heating</t>
  </si>
  <si>
    <t>2 - Biofuel community heating</t>
  </si>
  <si>
    <t>3 - Biofuel community heating for some of heat generation</t>
  </si>
  <si>
    <t>4 - Biofuel secondary heating</t>
  </si>
  <si>
    <t>5 - Geothermal heat source</t>
  </si>
  <si>
    <t>6 - Community combined heat and power</t>
  </si>
  <si>
    <t>7 - Ground source heat pump</t>
  </si>
  <si>
    <t>8 - Water source heat pump</t>
  </si>
  <si>
    <t>9 - Air source heat pump</t>
  </si>
  <si>
    <t>10 - Solar water heating</t>
  </si>
  <si>
    <t>11 - Solar photovoltaics</t>
  </si>
  <si>
    <t>12 - Wind turbine</t>
  </si>
  <si>
    <t>13 - Community heat pump</t>
  </si>
  <si>
    <t>14 - Hydro-electric generation</t>
  </si>
  <si>
    <t>15 - Micro-CHP</t>
  </si>
  <si>
    <t>16 - Exhaust air heat pump</t>
  </si>
  <si>
    <t>17 - Solar-assisted heat pump</t>
  </si>
  <si>
    <t>1 - new dwelling as designed</t>
  </si>
  <si>
    <t>3 - new extension to existing dwelling</t>
  </si>
  <si>
    <t>4 - new dwelling created by change of use</t>
  </si>
  <si>
    <t>5 - existing dwelling</t>
  </si>
  <si>
    <t>6 - other</t>
  </si>
  <si>
    <t>1 - Detached</t>
  </si>
  <si>
    <t>2 - Semi-Detached</t>
  </si>
  <si>
    <t>3 - End-Terrace</t>
  </si>
  <si>
    <t>4 - Mid-Terrace</t>
  </si>
  <si>
    <t>5 - Enclosed End-Terrace</t>
  </si>
  <si>
    <t>6 - Enclosed Mid-Terrace</t>
  </si>
  <si>
    <t>0 - unknown or unspecified</t>
  </si>
  <si>
    <t>1 - North</t>
  </si>
  <si>
    <t>2 - North East</t>
  </si>
  <si>
    <t>3 - East</t>
  </si>
  <si>
    <t>4 - South East</t>
  </si>
  <si>
    <t>6 - South West</t>
  </si>
  <si>
    <t>7 - West</t>
  </si>
  <si>
    <t>8 - North West</t>
  </si>
  <si>
    <t>9 - Horizontal (windows and roof windows only)</t>
  </si>
  <si>
    <t>1 - no conservatory</t>
  </si>
  <si>
    <t>2 - separated unheated conservatory</t>
  </si>
  <si>
    <t>3 - separated heated conservatory</t>
  </si>
  <si>
    <t>4 - not separated</t>
  </si>
  <si>
    <t>1 - urban</t>
  </si>
  <si>
    <t>2 - suburban</t>
  </si>
  <si>
    <t>3 - rural</t>
  </si>
  <si>
    <t>2 - Gas: bulk LPG</t>
  </si>
  <si>
    <t>3 - Gas: bottled LPG</t>
  </si>
  <si>
    <t>4 - Oil: heating oil</t>
  </si>
  <si>
    <t>7 - Gas: biogas</t>
  </si>
  <si>
    <t>8 - LNG</t>
  </si>
  <si>
    <t>9 - LPG subject to Special Condition 18</t>
  </si>
  <si>
    <t>10 - Solid fuel: dual fuel appliance (mineral and wood)</t>
  </si>
  <si>
    <t>11 - Solid fuel: house coal</t>
  </si>
  <si>
    <t>12 - Solid fuel: manufactured smokeless fuel</t>
  </si>
  <si>
    <t>15 - Solid fuel: anthracite</t>
  </si>
  <si>
    <t>20 - Solid fuel: wood logs</t>
  </si>
  <si>
    <t>21 - Solid fuel: wood chips</t>
  </si>
  <si>
    <t>22 - Solid fuel: wood pellets (in bags, for secondary heating)</t>
  </si>
  <si>
    <t>23 - Solid fuel: wood pellets (bulk supply in bags, for main heating)</t>
  </si>
  <si>
    <t>36 - Electricity: electricity sold to grid</t>
  </si>
  <si>
    <t>37 - Electricity: electricity displaced from grid</t>
  </si>
  <si>
    <t>39 - Electricity: electricity, unspecified tariff</t>
  </si>
  <si>
    <t>41 - Community heating schemes: heat from electric heat pump</t>
  </si>
  <si>
    <t>42 - Community heating schemes: heat from boilers - waste combustion</t>
  </si>
  <si>
    <t>43 - Community heating schemes: heat from boilers - biomass</t>
  </si>
  <si>
    <t>44 - Community heating schemes: heat from boilers - biogas</t>
  </si>
  <si>
    <t>45 - Community heating schemes: waste heat from power stations</t>
  </si>
  <si>
    <t>46 - Community heating schemes: geothermal heat source</t>
  </si>
  <si>
    <t>47 - Community heating schemes: high grade heat recovered from process</t>
  </si>
  <si>
    <t>48 - Community heating schemes: heat from CHP</t>
  </si>
  <si>
    <t>49 - Community heating schemes: low grade heat recovered from process</t>
  </si>
  <si>
    <t>50 - Community heating schemes: electricity for pumping in distribution network</t>
  </si>
  <si>
    <t>51 - Community heating schemes: heat from mains gas</t>
  </si>
  <si>
    <t>52 - Community heating schemes: heat from LPG</t>
  </si>
  <si>
    <t>53 - Community heating schemes: heat from oil</t>
  </si>
  <si>
    <t>54 - Community heating schemes: heat from coal</t>
  </si>
  <si>
    <t>55 - Community heating schemes: heat from B30D</t>
  </si>
  <si>
    <t>56 - Community heating schemes: heat from boilers that can use mineral oil or biodiesel</t>
  </si>
  <si>
    <t>57 - Community heating schemes: heat from boilers using biodiesel from any biomass source</t>
  </si>
  <si>
    <t>58 - Community heating schemes: biodiesel from vegetable oil only</t>
  </si>
  <si>
    <t>71 - biodiesel from any biomass source</t>
  </si>
  <si>
    <t>72 - biodiesel from used cooking oil only</t>
  </si>
  <si>
    <t>73 - biodiesel from vegetable oil only</t>
  </si>
  <si>
    <t>74 - appliances able to use mineral oil or liquid biofuel</t>
  </si>
  <si>
    <t>75 - B30K</t>
  </si>
  <si>
    <t>76 - bioethanol from any biomass source</t>
  </si>
  <si>
    <t>99 - Fuel data from pcdb</t>
  </si>
  <si>
    <t xml:space="preserve">false - </t>
  </si>
  <si>
    <t xml:space="preserve">true - </t>
  </si>
  <si>
    <t xml:space="preserve">unknown - </t>
  </si>
  <si>
    <t>2 - header tank</t>
  </si>
  <si>
    <t>1 - very little</t>
  </si>
  <si>
    <t>3 - more than average</t>
  </si>
  <si>
    <t>4 - heavy</t>
  </si>
  <si>
    <t>0 - not applicable (FGHRS)</t>
  </si>
  <si>
    <t>1 - not connected to dwelling's electricity meter</t>
  </si>
  <si>
    <t>2 - connected to dwelling's electricity meter</t>
  </si>
  <si>
    <t>10 - room heaters</t>
  </si>
  <si>
    <t>2 - from manufacturer declaration</t>
  </si>
  <si>
    <t>1 - open flue</t>
  </si>
  <si>
    <t>2 - balanced flue</t>
  </si>
  <si>
    <t>3 - chimney</t>
  </si>
  <si>
    <t>4 - omitted (boiler is in an outhouse, so its flue arrangements are not relevant)</t>
  </si>
  <si>
    <t>5 - unknown (there is a flue, but its type could not be determined)</t>
  </si>
  <si>
    <t>2 - hot water only</t>
  </si>
  <si>
    <t>3 - integrated</t>
  </si>
  <si>
    <t>1 - Dual</t>
  </si>
  <si>
    <t>2 - Single</t>
  </si>
  <si>
    <t>1 - factory-applied</t>
  </si>
  <si>
    <t>2 - loose jacket</t>
  </si>
  <si>
    <t>1 - space heating only</t>
  </si>
  <si>
    <t>2 - water heating only</t>
  </si>
  <si>
    <t>3 - space and water heating</t>
  </si>
  <si>
    <t>5 - calculated</t>
  </si>
  <si>
    <t>6 - unknown</t>
  </si>
  <si>
    <t>7 - Network not compliant with Code of Practice</t>
  </si>
  <si>
    <t>8 - Network compliant with Code of Practice</t>
  </si>
  <si>
    <t>9 - Two adjoining dwellings</t>
  </si>
  <si>
    <t>1 - CHP</t>
  </si>
  <si>
    <t>2 - boilers</t>
  </si>
  <si>
    <t>3 - heat pump</t>
  </si>
  <si>
    <t>4 - waste heat</t>
  </si>
  <si>
    <t>5 - geothermal</t>
  </si>
  <si>
    <t>81 - New CHP, export only.</t>
  </si>
  <si>
    <t>82 - New CHP, flexible operation.</t>
  </si>
  <si>
    <t>83 - New CHP, standard.</t>
  </si>
  <si>
    <t>84 - Existing CHP (2015+), export only.</t>
  </si>
  <si>
    <t>85 - Existing CHP (2015+), flexible operation.</t>
  </si>
  <si>
    <t>86 - Existing CHP (2015+),standard.</t>
  </si>
  <si>
    <t>87 - Existing CHP (pre-2015), export only.</t>
  </si>
  <si>
    <t>88 - Existing CHP (pre-2015), flexible operation.</t>
  </si>
  <si>
    <t>89 - Existing CHP (pre-2015), standard.</t>
  </si>
  <si>
    <t>3 - micro-cogeneration</t>
  </si>
  <si>
    <t>4 - heat pump with radiators or underfloor heating</t>
  </si>
  <si>
    <t>5 - heat pump with warm air distribution</t>
  </si>
  <si>
    <t>6 - community heating system</t>
  </si>
  <si>
    <t>7 - electric storage heaters</t>
  </si>
  <si>
    <t>8 - electric underfloor heating</t>
  </si>
  <si>
    <t>9 - warm air system (not heat pump)</t>
  </si>
  <si>
    <t>11 - other system</t>
  </si>
  <si>
    <t>1 - from database</t>
  </si>
  <si>
    <t>1 - regular</t>
  </si>
  <si>
    <t>2 - combi</t>
  </si>
  <si>
    <t>3 - CPSU</t>
  </si>
  <si>
    <t>4 - range cooker</t>
  </si>
  <si>
    <t>1 - instantaneous, no store or keep hot</t>
  </si>
  <si>
    <t>2 - primary storage</t>
  </si>
  <si>
    <t>3 - secondary storage</t>
  </si>
  <si>
    <t>4 - CPSU</t>
  </si>
  <si>
    <t>5 - untimed keep-hot by fuel</t>
  </si>
  <si>
    <t>6 - timed keep hot by fuel</t>
  </si>
  <si>
    <t>7 - untimed keep-hot by electricity</t>
  </si>
  <si>
    <t>8 - timed keep hot by electricity</t>
  </si>
  <si>
    <t>9 - untimed keep-hot by fuel and electricity</t>
  </si>
  <si>
    <t>10 - timed keep hot by fuel and electricity</t>
  </si>
  <si>
    <t>1 - independent</t>
  </si>
  <si>
    <t>2 - open fire</t>
  </si>
  <si>
    <t>3 - closed room heater</t>
  </si>
  <si>
    <t>2 - underfloor</t>
  </si>
  <si>
    <t>3 - both radiators and underfloor</t>
  </si>
  <si>
    <t>4 - fan coil units</t>
  </si>
  <si>
    <t>1 - in concrete slab</t>
  </si>
  <si>
    <t>2 - in screed above insulation</t>
  </si>
  <si>
    <t>3 - in timber floor</t>
  </si>
  <si>
    <t>1 - gravity</t>
  </si>
  <si>
    <t>2 - manual</t>
  </si>
  <si>
    <t>3 - screw</t>
  </si>
  <si>
    <t>4 - other</t>
  </si>
  <si>
    <t>1 - unknown</t>
  </si>
  <si>
    <t>2 - on/off (gas and oil burners)</t>
  </si>
  <si>
    <t>3 - modulating (gas and oil boilers)</t>
  </si>
  <si>
    <t>4 - manual (solid fuel boilers)</t>
  </si>
  <si>
    <t>5 - electrical (solid fuel boilers)</t>
  </si>
  <si>
    <t>1 - not gas or oil boiler</t>
  </si>
  <si>
    <t>2 - SEDBUK(2005)</t>
  </si>
  <si>
    <t>3 - SEDBUK(2009)</t>
  </si>
  <si>
    <t>4 - winter and summer</t>
  </si>
  <si>
    <t>ND - To be used when the pitch is horizontal</t>
  </si>
  <si>
    <t>NR - not recorded - for backwards compatibility only; do not use</t>
  </si>
  <si>
    <t>1 - horizontal</t>
  </si>
  <si>
    <t>2 - 30 degrees</t>
  </si>
  <si>
    <t>3 - 45 degrees</t>
  </si>
  <si>
    <t>4 - 60 degrees</t>
  </si>
  <si>
    <t>5 - vertical</t>
  </si>
  <si>
    <t>1 - none or very little</t>
  </si>
  <si>
    <t>2 - modest</t>
  </si>
  <si>
    <t>3 - significant</t>
  </si>
  <si>
    <t>5 - severe</t>
  </si>
  <si>
    <t>ND - for backwards compatability only; do not use</t>
  </si>
  <si>
    <t>1 - standard tariff</t>
  </si>
  <si>
    <t>2 - off-peak 7 hour</t>
  </si>
  <si>
    <t>3 - off-peak 10 hour</t>
  </si>
  <si>
    <t>4 - 24 hour</t>
  </si>
  <si>
    <t>5 - off-peak 18 hour</t>
  </si>
  <si>
    <t>ND - not applicable</t>
  </si>
  <si>
    <t xml:space="preserve">Jan - </t>
  </si>
  <si>
    <t xml:space="preserve">Feb - </t>
  </si>
  <si>
    <t xml:space="preserve">Mar - </t>
  </si>
  <si>
    <t xml:space="preserve">Apr - </t>
  </si>
  <si>
    <t xml:space="preserve">May - </t>
  </si>
  <si>
    <t xml:space="preserve">Jun - </t>
  </si>
  <si>
    <t xml:space="preserve">Jul - </t>
  </si>
  <si>
    <t xml:space="preserve">Aug - </t>
  </si>
  <si>
    <t xml:space="preserve">Sep - </t>
  </si>
  <si>
    <t xml:space="preserve">Oct - </t>
  </si>
  <si>
    <t xml:space="preserve">Nov - </t>
  </si>
  <si>
    <t xml:space="preserve">Dec - </t>
  </si>
  <si>
    <t>0 - unknown</t>
  </si>
  <si>
    <t>1 - over 45degC</t>
  </si>
  <si>
    <t>2 - over 35degC</t>
  </si>
  <si>
    <t>3 - over 35degC and less than or equal to 45degC</t>
  </si>
  <si>
    <t>4 - less than or equal to 35degC</t>
  </si>
  <si>
    <t>NA - not applicable for the heating system</t>
  </si>
  <si>
    <t>1 - 2012 or earlier</t>
  </si>
  <si>
    <t>2 - 2013 or later</t>
  </si>
  <si>
    <t>1 - both main heating systems provide heat to the whole property</t>
  </si>
  <si>
    <t>2 - the main heating systems are separate and heat different parts of the property</t>
  </si>
  <si>
    <t>1 - not insulated</t>
  </si>
  <si>
    <t>2 - first 1 metre from cylinder insulated</t>
  </si>
  <si>
    <t>3 - all accessible pipework insulated</t>
  </si>
  <si>
    <t>4 - fully insulated</t>
  </si>
  <si>
    <t>1 - unglazed</t>
  </si>
  <si>
    <t>2 - flat panel</t>
  </si>
  <si>
    <t>3 - evacuated tube</t>
  </si>
  <si>
    <t>2 - declared values</t>
  </si>
  <si>
    <t>1 - space and water heating</t>
  </si>
  <si>
    <t>2 - space heating only</t>
  </si>
  <si>
    <t>3 - water heating only</t>
  </si>
  <si>
    <t>1 - Vented hot water system</t>
  </si>
  <si>
    <t>2 - Vented hot water system + pump</t>
  </si>
  <si>
    <t>3 - Unvented hot water system</t>
  </si>
  <si>
    <t>4 - Instantaneous electric shower</t>
  </si>
  <si>
    <t>5 - Part G 2015 compliant</t>
  </si>
  <si>
    <t>2 - Instantaneous WWHRS 1</t>
  </si>
  <si>
    <t>3 - Instantaneous WWHRS 2</t>
  </si>
  <si>
    <t>4 - Storage WWHRS</t>
  </si>
  <si>
    <t>A - England and Wales: before 1900; Scotland: before 1919; Northern Ireland: before 1919</t>
  </si>
  <si>
    <t>B - England and Wales: 1900-1929; Scotland: 1919-1929; Northern Ireland: 1919-1929</t>
  </si>
  <si>
    <t>C - England and Wales: 1930-1949; Scotland: 1930-1949; Northern Ireland: 1930-1949</t>
  </si>
  <si>
    <t>D - England and Wales: 1950-1966; Scotland: 1950-1964; Northern Ireland: 1950-1973</t>
  </si>
  <si>
    <t>E - England and Wales: 1967-1975; Scotland: 1965-1975; Northern Ireland: 1974-1977</t>
  </si>
  <si>
    <t>F - England and Wales: 1976-1982; Scotland: 1976-1983; Northern Ireland: 1978-1985</t>
  </si>
  <si>
    <t>G - England and Wales: 1983-1990; Scotland: 1984-1991; Northern Ireland: 1986-1991</t>
  </si>
  <si>
    <t>H - England and Wales: 1991-1995; Scotland: 1992-1998; Northern Ireland: 1992-1999</t>
  </si>
  <si>
    <t>I - England and Wales: 1996-2002; Scotland: 1999-2002; Northern Ireland: 2000-2006</t>
  </si>
  <si>
    <t>J - England and Wales: 2003-2006; Scotland: 2003-2007; Northern Ireland: not applicable</t>
  </si>
  <si>
    <t>K - England and Wales: 2007-2011; Scotland: 2008-2011; Northern Ireland: 2007-2013</t>
  </si>
  <si>
    <t>L - England and Wales: 2012 onwards; Scotland: 2012 onwards; Northern Ireland: 2014 onwards</t>
  </si>
  <si>
    <t>4 - party ceiling</t>
  </si>
  <si>
    <t>-1 - Lower ground</t>
  </si>
  <si>
    <t>1 - 1st</t>
  </si>
  <si>
    <t>2 - 2nd</t>
  </si>
  <si>
    <t>3 - 3rd</t>
  </si>
  <si>
    <t>4 - 4th</t>
  </si>
  <si>
    <t>5 - 5th</t>
  </si>
  <si>
    <t>6 - 6th</t>
  </si>
  <si>
    <t>99 - Roof rooms</t>
  </si>
  <si>
    <t>1 - basement floor</t>
  </si>
  <si>
    <t>3 - upper floor (if heat loss area &gt; 0, this area is an exposed floor)</t>
  </si>
  <si>
    <t>4 - party floor</t>
  </si>
  <si>
    <t>2 - 2002 regulations. For backwards compatibility only, do not use.</t>
  </si>
  <si>
    <t>3 - accredited. For backwards compatibility only, do not use.</t>
  </si>
  <si>
    <t>4 - user defined (global y-value)</t>
  </si>
  <si>
    <t>5 - user defined (individual values)</t>
  </si>
  <si>
    <t>ND - not defined (for backward compatibility only, do not use)</t>
  </si>
  <si>
    <t>E1 - Steel lintel with perforated steel base plate</t>
  </si>
  <si>
    <t>E2 - Other lintels (including other steel lintels)</t>
  </si>
  <si>
    <t>E3 - Sill</t>
  </si>
  <si>
    <t>E4 - Jamb</t>
  </si>
  <si>
    <t>E5 - Ground floor (normal)</t>
  </si>
  <si>
    <t>E6 - Intermediate floor within a dwelling</t>
  </si>
  <si>
    <t>E7 - Party floor between dwellings (in blocks of flats)</t>
  </si>
  <si>
    <t>E8 - Balcony within a dwelling, wall insulation continuous</t>
  </si>
  <si>
    <t>E9 - Balcony between dwellings, wall insulation continuous</t>
  </si>
  <si>
    <t>E10 - Eaves (insulation at ceiling level)</t>
  </si>
  <si>
    <t>E11 - Eaves (insulation at rafter level)</t>
  </si>
  <si>
    <t>E12 - Gable (insulation at ceiling level)</t>
  </si>
  <si>
    <t>E13 - Gable (insulation at rafter level)</t>
  </si>
  <si>
    <t>E14 - Flat roof</t>
  </si>
  <si>
    <t>E15 - Flat roof with parapet</t>
  </si>
  <si>
    <t>E16 - Corner (normal)</t>
  </si>
  <si>
    <t>E17 - Corner (inverted - internal area greater than external area)</t>
  </si>
  <si>
    <t>E18 - Party wall between dwellings</t>
  </si>
  <si>
    <t>E19 - Ground floor (inverted)</t>
  </si>
  <si>
    <t>E20 - Exposed floor (normal)</t>
  </si>
  <si>
    <t>E21 - Exposed floor (inverted)</t>
  </si>
  <si>
    <t>E22 - Basement floor</t>
  </si>
  <si>
    <t>E23 - Balcony within or between dwellings, balcony support penetrates wall insulation</t>
  </si>
  <si>
    <t>E24 - Eaves (insulation at ceiling level - inverted)</t>
  </si>
  <si>
    <t>E25 - Staggered party wall between dwellings</t>
  </si>
  <si>
    <t>P1 - Ground floor</t>
  </si>
  <si>
    <t>P2 - Intermediate floor within a dwelling</t>
  </si>
  <si>
    <t>P3 - Intermediate floor between dwellings (in blocks of flats)</t>
  </si>
  <si>
    <t>P4 - Roof (insulation at ceiling level)</t>
  </si>
  <si>
    <t>P5 - Roof (insulation at rafter level)</t>
  </si>
  <si>
    <t>P6 - Ground floor (inverted)</t>
  </si>
  <si>
    <t>P7 - Exposed floor (normal)</t>
  </si>
  <si>
    <t>P8 - Exposed floor (inverted)</t>
  </si>
  <si>
    <t>R1 - Head of roof window</t>
  </si>
  <si>
    <t>R2 - Sill of roof window</t>
  </si>
  <si>
    <t>R3 - Jamb of roof window</t>
  </si>
  <si>
    <t>R4 - Ridge (vaulted ceiling)</t>
  </si>
  <si>
    <t>R5 - Ridge (inverted)</t>
  </si>
  <si>
    <t>R6 - Flat ceiling</t>
  </si>
  <si>
    <t>R7 - Flat ceiling (inverted)</t>
  </si>
  <si>
    <t>R8 - Roof to wall (rafter)</t>
  </si>
  <si>
    <t>R9 - Roof to wall (flat ceiling)</t>
  </si>
  <si>
    <t>R10 - All other roof or room-in-roof junctions</t>
  </si>
  <si>
    <t>R11 - Upstands or kerbs of rooflights</t>
  </si>
  <si>
    <t>O1 - other type 1</t>
  </si>
  <si>
    <t>O2 - other type 2</t>
  </si>
  <si>
    <t>1 - calculated by person with suitable expertise</t>
  </si>
  <si>
    <t>2 - government-approved scheme</t>
  </si>
  <si>
    <t>3 - not government-approved scheme</t>
  </si>
  <si>
    <t>4 - SAP table default</t>
  </si>
  <si>
    <t>1 - basement wall</t>
  </si>
  <si>
    <t>3 - sheltered wall</t>
  </si>
  <si>
    <t>4 - party wall</t>
  </si>
  <si>
    <t>5 - internal wall</t>
  </si>
  <si>
    <t>3 - SAP table</t>
  </si>
  <si>
    <t>4 - BFRC data</t>
  </si>
  <si>
    <t>1 - solid door</t>
  </si>
  <si>
    <t>2 - semi-glazed door</t>
  </si>
  <si>
    <t>3 - door to corridor</t>
  </si>
  <si>
    <t>5 - roof window</t>
  </si>
  <si>
    <t>6 - rooflight</t>
  </si>
  <si>
    <t>1 - not applicable (non-glazed door)</t>
  </si>
  <si>
    <t>2 - single</t>
  </si>
  <si>
    <t>4 - double low-E hard 0.2</t>
  </si>
  <si>
    <t>5 - double low-E hard 0.15</t>
  </si>
  <si>
    <t>6 - double low-E soft 0.1</t>
  </si>
  <si>
    <t>7 - double low-E soft 0.05</t>
  </si>
  <si>
    <t>8 - triple</t>
  </si>
  <si>
    <t>9 - triple low-E hard 0.2</t>
  </si>
  <si>
    <t>10 - triple low-E hard 0.15</t>
  </si>
  <si>
    <t>11 - triple low-E soft 0.1</t>
  </si>
  <si>
    <t>12 - triple low-E soft 0.05</t>
  </si>
  <si>
    <t>13 - secondary glazing</t>
  </si>
  <si>
    <t>1 - 6 mm</t>
  </si>
  <si>
    <t>2 - 12 mm</t>
  </si>
  <si>
    <t>3 - 16 mm or more</t>
  </si>
  <si>
    <t>1 - wood</t>
  </si>
  <si>
    <t>2 - PVC</t>
  </si>
  <si>
    <t>3 - metal no break</t>
  </si>
  <si>
    <t>4 - metal 4 mm break</t>
  </si>
  <si>
    <t>5 - metal 8 mm break</t>
  </si>
  <si>
    <t>6 - metal 12 mm break</t>
  </si>
  <si>
    <t>7 - metal 20 mm break</t>
  </si>
  <si>
    <t>8 - metal 32 mm break</t>
  </si>
  <si>
    <t>9 - unknown</t>
  </si>
  <si>
    <t>1 - yes (new dwelling, value measured in this dwelling)</t>
  </si>
  <si>
    <t>2 - yes (new dwelling, design value)</t>
  </si>
  <si>
    <t>3 - no test, value assumed for calculation (new dwelling)</t>
  </si>
  <si>
    <t>4 - no test, SAP algorithm used (existing dwelling)</t>
  </si>
  <si>
    <t>5 - average for other dwellings of the same type (new dwelling)</t>
  </si>
  <si>
    <t>6 - yes (existing dwelling)</t>
  </si>
  <si>
    <t>7 - yes (measured value) - low-pressure pulse</t>
  </si>
  <si>
    <t>1 - not suspended timber</t>
  </si>
  <si>
    <t>2 - suspended timber, sealed</t>
  </si>
  <si>
    <t>3 - suspended timber, unsealed</t>
  </si>
  <si>
    <t>1 - steel or timber frame</t>
  </si>
  <si>
    <t>2 - other</t>
  </si>
  <si>
    <t>2 - natural with passive vents</t>
  </si>
  <si>
    <t>3 - positive input from loft</t>
  </si>
  <si>
    <t>4 - positive input from outside</t>
  </si>
  <si>
    <t>5 - mechanical extract, centralised (MEV c)</t>
  </si>
  <si>
    <t>6 - mechanical extract, decentralised (MEV dc)</t>
  </si>
  <si>
    <t>7 - balanced without heat recovery (MV)</t>
  </si>
  <si>
    <t>8 - balanced with heat recovery (MVHR)</t>
  </si>
  <si>
    <t>9 - natural with intermittent extract fans and/or passive vents. For backwards compatibility only, do not use.</t>
  </si>
  <si>
    <t>10 - natural with intermittent extract fans and passive vents</t>
  </si>
  <si>
    <t>1 - flexible</t>
  </si>
  <si>
    <t>2 - rigid</t>
  </si>
  <si>
    <t>3 - semi-rigid</t>
  </si>
  <si>
    <t>2 - insulated</t>
  </si>
  <si>
    <t>1 - level 1</t>
  </si>
  <si>
    <t>2 - level 2</t>
  </si>
  <si>
    <t>1 - inside heated envelope</t>
  </si>
  <si>
    <t>2 - outside heated envelope</t>
  </si>
  <si>
    <t>0 - basement</t>
  </si>
  <si>
    <t>1 - ground floor</t>
  </si>
  <si>
    <t>2 - mid floor</t>
  </si>
  <si>
    <t>3 - top floor</t>
  </si>
  <si>
    <t xml:space="preserve">A+++ - </t>
  </si>
  <si>
    <t xml:space="preserve">A++ - </t>
  </si>
  <si>
    <t xml:space="preserve">A+ - </t>
  </si>
  <si>
    <t xml:space="preserve">A - </t>
  </si>
  <si>
    <t xml:space="preserve">B - </t>
  </si>
  <si>
    <t xml:space="preserve">C - </t>
  </si>
  <si>
    <t xml:space="preserve">D - </t>
  </si>
  <si>
    <t xml:space="preserve">E - </t>
  </si>
  <si>
    <t xml:space="preserve">F - </t>
  </si>
  <si>
    <t xml:space="preserve">G - </t>
  </si>
  <si>
    <t xml:space="preserve">ND - </t>
  </si>
  <si>
    <t xml:space="preserve">Unknown - </t>
  </si>
  <si>
    <r>
      <t xml:space="preserve">b) If balanced mechanical ventilation without heat recovery (MV) </t>
    </r>
    <r>
      <rPr>
        <sz val="11"/>
        <color rgb="FF0066FF"/>
        <rFont val="Aptos Narrow"/>
        <family val="2"/>
        <scheme val="minor"/>
      </rPr>
      <t>(24b)</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(23b)</t>
    </r>
  </si>
  <si>
    <r>
      <t xml:space="preserve">if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&lt; 0.5 x </t>
    </r>
    <r>
      <rPr>
        <sz val="11"/>
        <color rgb="FF0066FF"/>
        <rFont val="Aptos Narrow"/>
        <family val="2"/>
        <scheme val="minor"/>
      </rPr>
      <t>(23b)</t>
    </r>
    <r>
      <rPr>
        <sz val="11"/>
        <color theme="1"/>
        <rFont val="Aptos Narrow"/>
        <family val="2"/>
        <scheme val="minor"/>
      </rPr>
      <t xml:space="preserve">, then </t>
    </r>
    <r>
      <rPr>
        <sz val="11"/>
        <color rgb="FF0066FF"/>
        <rFont val="Aptos Narrow"/>
        <family val="2"/>
        <scheme val="minor"/>
      </rPr>
      <t>(24c)</t>
    </r>
    <r>
      <rPr>
        <sz val="11"/>
        <color theme="1"/>
        <rFont val="Aptos Narrow"/>
        <family val="2"/>
        <scheme val="minor"/>
      </rPr>
      <t xml:space="preserve"> = </t>
    </r>
    <r>
      <rPr>
        <sz val="11"/>
        <color rgb="FF0066FF"/>
        <rFont val="Aptos Narrow"/>
        <family val="2"/>
        <scheme val="minor"/>
      </rPr>
      <t>(23b)</t>
    </r>
    <r>
      <rPr>
        <sz val="11"/>
        <color theme="1"/>
        <rFont val="Aptos Narrow"/>
        <family val="2"/>
        <scheme val="minor"/>
      </rPr>
      <t xml:space="preserve">; otherwise </t>
    </r>
    <r>
      <rPr>
        <sz val="11"/>
        <color rgb="FF0066FF"/>
        <rFont val="Aptos Narrow"/>
        <family val="2"/>
        <scheme val="minor"/>
      </rPr>
      <t>(24c)</t>
    </r>
    <r>
      <rPr>
        <sz val="11"/>
        <color theme="1"/>
        <rFont val="Aptos Narrow"/>
        <family val="2"/>
        <scheme val="minor"/>
      </rPr>
      <t xml:space="preserve"> =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+ 0.5 x </t>
    </r>
    <r>
      <rPr>
        <sz val="11"/>
        <color rgb="FF0066FF"/>
        <rFont val="Aptos Narrow"/>
        <family val="2"/>
        <scheme val="minor"/>
      </rPr>
      <t>(23b)</t>
    </r>
  </si>
  <si>
    <r>
      <t xml:space="preserve">if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1, then </t>
    </r>
    <r>
      <rPr>
        <sz val="11"/>
        <color rgb="FF0066FF"/>
        <rFont val="Aptos Narrow"/>
        <family val="2"/>
        <scheme val="minor"/>
      </rPr>
      <t>(24d)</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 otherwise </t>
    </r>
    <r>
      <rPr>
        <sz val="11"/>
        <color rgb="FF0066FF"/>
        <rFont val="Aptos Narrow"/>
        <family val="2"/>
        <scheme val="minor"/>
      </rPr>
      <t>(24d)</t>
    </r>
    <r>
      <rPr>
        <vertAlign val="subscript"/>
        <sz val="11"/>
        <color rgb="FF0066FF"/>
        <rFont val="Aptos Narrow"/>
        <family val="2"/>
        <scheme val="minor"/>
      </rPr>
      <t>m</t>
    </r>
    <r>
      <rPr>
        <sz val="11"/>
        <color theme="1"/>
        <rFont val="Aptos Narrow"/>
        <family val="2"/>
        <scheme val="minor"/>
      </rPr>
      <t xml:space="preserve"> = 0.5 + [</t>
    </r>
    <r>
      <rPr>
        <sz val="11"/>
        <color rgb="FF0066FF"/>
        <rFont val="Aptos Narrow"/>
        <family val="2"/>
        <scheme val="minor"/>
      </rPr>
      <t>(22b)</t>
    </r>
    <r>
      <rPr>
        <vertAlign val="subscript"/>
        <sz val="11"/>
        <color rgb="FF0066FF"/>
        <rFont val="Aptos Narrow"/>
        <family val="2"/>
        <scheme val="minor"/>
      </rPr>
      <t>m</t>
    </r>
    <r>
      <rPr>
        <sz val="11"/>
        <color theme="1"/>
        <rFont val="Aptos Narrow"/>
        <family val="2"/>
        <scheme val="minor"/>
      </rPr>
      <t xml:space="preserve">² </t>
    </r>
    <r>
      <rPr>
        <sz val="11"/>
        <color theme="1"/>
        <rFont val="Aptos Narrow"/>
        <family val="2"/>
      </rPr>
      <t>×</t>
    </r>
    <r>
      <rPr>
        <sz val="11"/>
        <color theme="1"/>
        <rFont val="Aptos Narrow"/>
        <family val="2"/>
        <scheme val="minor"/>
      </rPr>
      <t xml:space="preserve"> 0.5]</t>
    </r>
  </si>
  <si>
    <r>
      <t xml:space="preserve">Effective air change rate - enter </t>
    </r>
    <r>
      <rPr>
        <sz val="11"/>
        <color rgb="FF0066FF"/>
        <rFont val="Aptos Narrow"/>
        <family val="2"/>
        <scheme val="minor"/>
      </rPr>
      <t>(24a)</t>
    </r>
    <r>
      <rPr>
        <sz val="11"/>
        <color theme="1"/>
        <rFont val="Aptos Narrow"/>
        <family val="2"/>
        <scheme val="minor"/>
      </rPr>
      <t xml:space="preserve"> or </t>
    </r>
    <r>
      <rPr>
        <sz val="11"/>
        <color rgb="FF0066FF"/>
        <rFont val="Aptos Narrow"/>
        <family val="2"/>
        <scheme val="minor"/>
      </rPr>
      <t>(24b)</t>
    </r>
    <r>
      <rPr>
        <sz val="11"/>
        <color theme="1"/>
        <rFont val="Aptos Narrow"/>
        <family val="2"/>
        <scheme val="minor"/>
      </rPr>
      <t xml:space="preserve"> or </t>
    </r>
    <r>
      <rPr>
        <sz val="11"/>
        <color rgb="FF0066FF"/>
        <rFont val="Aptos Narrow"/>
        <family val="2"/>
        <scheme val="minor"/>
      </rPr>
      <t>(24c)</t>
    </r>
    <r>
      <rPr>
        <sz val="11"/>
        <color theme="1"/>
        <rFont val="Aptos Narrow"/>
        <family val="2"/>
        <scheme val="minor"/>
      </rPr>
      <t xml:space="preserve"> or </t>
    </r>
    <r>
      <rPr>
        <sz val="11"/>
        <color rgb="FF0066FF"/>
        <rFont val="Aptos Narrow"/>
        <family val="2"/>
        <scheme val="minor"/>
      </rPr>
      <t>(24d)</t>
    </r>
    <r>
      <rPr>
        <sz val="11"/>
        <color theme="1"/>
        <rFont val="Aptos Narrow"/>
        <family val="2"/>
        <scheme val="minor"/>
      </rPr>
      <t xml:space="preserve"> in </t>
    </r>
    <r>
      <rPr>
        <sz val="11"/>
        <color rgb="FF0066FF"/>
        <rFont val="Aptos Narrow"/>
        <family val="2"/>
        <scheme val="minor"/>
      </rPr>
      <t>(25)</t>
    </r>
  </si>
  <si>
    <t>3. Heat losses and heat loss parameter</t>
  </si>
  <si>
    <t>Items in the table below are to be expanded as necessary to allow for all different types of element e.g. 4 wall types.</t>
  </si>
  <si>
    <t>Element</t>
  </si>
  <si>
    <r>
      <t>Gross area, m</t>
    </r>
    <r>
      <rPr>
        <vertAlign val="superscript"/>
        <sz val="11"/>
        <color theme="1"/>
        <rFont val="Aptos Narrow"/>
        <family val="2"/>
        <scheme val="minor"/>
      </rPr>
      <t>2</t>
    </r>
  </si>
  <si>
    <r>
      <t>Openings, m</t>
    </r>
    <r>
      <rPr>
        <vertAlign val="superscript"/>
        <sz val="11"/>
        <color theme="1"/>
        <rFont val="Aptos Narrow"/>
        <family val="2"/>
        <scheme val="minor"/>
      </rPr>
      <t>2</t>
    </r>
  </si>
  <si>
    <t>Net area</t>
  </si>
  <si>
    <r>
      <t>A, m</t>
    </r>
    <r>
      <rPr>
        <vertAlign val="superscript"/>
        <sz val="11"/>
        <color theme="1"/>
        <rFont val="Aptos Narrow"/>
        <family val="2"/>
        <scheme val="minor"/>
      </rPr>
      <t>2</t>
    </r>
  </si>
  <si>
    <t>×</t>
  </si>
  <si>
    <t>U-value</t>
  </si>
  <si>
    <r>
      <t>W/m</t>
    </r>
    <r>
      <rPr>
        <vertAlign val="superscript"/>
        <sz val="11"/>
        <color theme="1"/>
        <rFont val="Aptos Narrow"/>
        <family val="2"/>
        <scheme val="minor"/>
      </rPr>
      <t>2</t>
    </r>
    <r>
      <rPr>
        <sz val="11"/>
        <color theme="1"/>
        <rFont val="Aptos Narrow"/>
        <family val="2"/>
        <scheme val="minor"/>
      </rPr>
      <t>K</t>
    </r>
  </si>
  <si>
    <t>W/K</t>
  </si>
  <si>
    <t>Solid door</t>
  </si>
  <si>
    <t>κ-value</t>
  </si>
  <si>
    <t>The κ-value is the heat capacity per unit area, see Table 1h</t>
  </si>
  <si>
    <r>
      <t>kJ/m</t>
    </r>
    <r>
      <rPr>
        <vertAlign val="superscript"/>
        <sz val="11"/>
        <color theme="1"/>
        <rFont val="Aptos Narrow"/>
        <family val="2"/>
        <scheme val="minor"/>
      </rPr>
      <t>2</t>
    </r>
    <r>
      <rPr>
        <sz val="11"/>
        <color theme="1"/>
        <rFont val="Aptos Narrow"/>
        <family val="2"/>
        <scheme val="minor"/>
      </rPr>
      <t>K</t>
    </r>
  </si>
  <si>
    <t>A × κ</t>
  </si>
  <si>
    <t>kJ/K</t>
  </si>
  <si>
    <t>(26)</t>
  </si>
  <si>
    <r>
      <rPr>
        <sz val="11"/>
        <color theme="1"/>
        <rFont val="Aptos Narrow"/>
        <family val="2"/>
      </rPr>
      <t>×</t>
    </r>
    <r>
      <rPr>
        <sz val="11"/>
        <color theme="1"/>
        <rFont val="Aptos Narrow"/>
        <family val="2"/>
        <scheme val="minor"/>
      </rPr>
      <t xml:space="preserve"> 80 =</t>
    </r>
  </si>
  <si>
    <t>× 20 =</t>
  </si>
  <si>
    <t>× 10 =</t>
  </si>
  <si>
    <t>× 30 =</t>
  </si>
  <si>
    <t xml:space="preserve">× 20 = </t>
  </si>
  <si>
    <t>× 40 =</t>
  </si>
  <si>
    <t>Semi-glazed door</t>
  </si>
  <si>
    <t>Window</t>
  </si>
  <si>
    <t>Roof window</t>
  </si>
  <si>
    <t>Basement floor</t>
  </si>
  <si>
    <t>Exposed floor</t>
  </si>
  <si>
    <t>Basement wall</t>
  </si>
  <si>
    <t>External wall</t>
  </si>
  <si>
    <r>
      <t xml:space="preserve">Total area of external elements </t>
    </r>
    <r>
      <rPr>
        <b/>
        <sz val="11"/>
        <color theme="1"/>
        <rFont val="Aptos Narrow"/>
        <family val="2"/>
      </rPr>
      <t>∑</t>
    </r>
    <r>
      <rPr>
        <b/>
        <sz val="11"/>
        <color theme="1"/>
        <rFont val="Aptos Narrow"/>
        <family val="2"/>
        <scheme val="minor"/>
      </rPr>
      <t>A, m²</t>
    </r>
  </si>
  <si>
    <t>-</t>
  </si>
  <si>
    <t>(26a)</t>
  </si>
  <si>
    <t>(27)</t>
  </si>
  <si>
    <t>(28)</t>
  </si>
  <si>
    <t>(28a)</t>
  </si>
  <si>
    <t>(28b)</t>
  </si>
  <si>
    <t>(29)</t>
  </si>
  <si>
    <t>(29a)</t>
  </si>
  <si>
    <t>(30)</t>
  </si>
  <si>
    <t>(31)</t>
  </si>
  <si>
    <t>(27a)</t>
  </si>
  <si>
    <t>Party wall</t>
  </si>
  <si>
    <t>Party floor</t>
  </si>
  <si>
    <t>Party ceiling</t>
  </si>
  <si>
    <t>Internal wall **</t>
  </si>
  <si>
    <t>* =</t>
  </si>
  <si>
    <t>Internal floor</t>
  </si>
  <si>
    <t>Internal ceiling</t>
  </si>
  <si>
    <t>(32)</t>
  </si>
  <si>
    <t>(32a)</t>
  </si>
  <si>
    <t>(32b)</t>
  </si>
  <si>
    <t>(32c)</t>
  </si>
  <si>
    <t>(32d)</t>
  </si>
  <si>
    <t>(32e)</t>
  </si>
  <si>
    <t>** include the areas on both sides of internal walls and partitions</t>
  </si>
  <si>
    <t xml:space="preserve"> *for windows and roof windows, use effective window U-value calculated using formula 1/[(1/U-value)+0.04] as in paragraph 3.2</t>
  </si>
  <si>
    <r>
      <t xml:space="preserve">Fabric heat loss, W/K = </t>
    </r>
    <r>
      <rPr>
        <sz val="11"/>
        <color theme="1"/>
        <rFont val="Aptos Narrow"/>
        <family val="2"/>
      </rPr>
      <t>∑</t>
    </r>
    <r>
      <rPr>
        <sz val="11"/>
        <color theme="1"/>
        <rFont val="Aptos Narrow"/>
        <family val="2"/>
        <scheme val="minor"/>
      </rPr>
      <t xml:space="preserve"> (A </t>
    </r>
    <r>
      <rPr>
        <sz val="11"/>
        <color theme="1"/>
        <rFont val="Aptos Narrow"/>
        <family val="2"/>
      </rPr>
      <t>×</t>
    </r>
    <r>
      <rPr>
        <sz val="11"/>
        <color theme="1"/>
        <rFont val="Aptos Narrow"/>
        <family val="2"/>
        <scheme val="minor"/>
      </rPr>
      <t xml:space="preserve"> U)</t>
    </r>
  </si>
  <si>
    <r>
      <rPr>
        <sz val="11"/>
        <color rgb="FF0066FF"/>
        <rFont val="Aptos Narrow"/>
        <family val="2"/>
        <scheme val="minor"/>
      </rPr>
      <t>(26)</t>
    </r>
    <r>
      <rPr>
        <sz val="11"/>
        <color theme="1"/>
        <rFont val="Aptos Narrow"/>
        <family val="2"/>
        <scheme val="minor"/>
      </rPr>
      <t>…</t>
    </r>
    <r>
      <rPr>
        <sz val="11"/>
        <color rgb="FF0066FF"/>
        <rFont val="Aptos Narrow"/>
        <family val="2"/>
        <scheme val="minor"/>
      </rPr>
      <t>(30)</t>
    </r>
    <r>
      <rPr>
        <sz val="11"/>
        <color theme="1"/>
        <rFont val="Aptos Narrow"/>
        <family val="2"/>
        <scheme val="minor"/>
      </rPr>
      <t xml:space="preserve"> + </t>
    </r>
    <r>
      <rPr>
        <sz val="11"/>
        <color rgb="FF0066FF"/>
        <rFont val="Aptos Narrow"/>
        <family val="2"/>
        <scheme val="minor"/>
      </rPr>
      <t>(32)</t>
    </r>
  </si>
  <si>
    <r>
      <t>Heat capacity C</t>
    </r>
    <r>
      <rPr>
        <vertAlign val="subscript"/>
        <sz val="11"/>
        <color theme="1"/>
        <rFont val="Aptos Narrow"/>
        <family val="2"/>
        <scheme val="minor"/>
      </rPr>
      <t>m</t>
    </r>
    <r>
      <rPr>
        <sz val="11"/>
        <color theme="1"/>
        <rFont val="Aptos Narrow"/>
        <family val="2"/>
        <scheme val="minor"/>
      </rPr>
      <t xml:space="preserve"> = </t>
    </r>
    <r>
      <rPr>
        <sz val="11"/>
        <color theme="1"/>
        <rFont val="Aptos Narrow"/>
        <family val="2"/>
      </rPr>
      <t>∑</t>
    </r>
    <r>
      <rPr>
        <sz val="11"/>
        <color theme="1"/>
        <rFont val="Aptos Narrow"/>
        <family val="2"/>
        <scheme val="minor"/>
      </rPr>
      <t xml:space="preserve">(A </t>
    </r>
    <r>
      <rPr>
        <sz val="11"/>
        <color theme="1"/>
        <rFont val="Aptos Narrow"/>
        <family val="2"/>
      </rPr>
      <t>× κ</t>
    </r>
    <r>
      <rPr>
        <sz val="11"/>
        <color theme="1"/>
        <rFont val="Aptos Narrow"/>
        <family val="2"/>
        <scheme val="minor"/>
      </rPr>
      <t xml:space="preserve"> )</t>
    </r>
  </si>
  <si>
    <r>
      <rPr>
        <sz val="11"/>
        <color rgb="FF0066FF"/>
        <rFont val="Aptos Narrow"/>
        <family val="2"/>
        <scheme val="minor"/>
      </rPr>
      <t>(29)</t>
    </r>
    <r>
      <rPr>
        <sz val="11"/>
        <color theme="1"/>
        <rFont val="Aptos Narrow"/>
        <family val="2"/>
        <scheme val="minor"/>
      </rPr>
      <t>...</t>
    </r>
    <r>
      <rPr>
        <sz val="11"/>
        <color rgb="FF0066FF"/>
        <rFont val="Aptos Narrow"/>
        <family val="2"/>
        <scheme val="minor"/>
      </rPr>
      <t>(30)</t>
    </r>
    <r>
      <rPr>
        <sz val="11"/>
        <color theme="1"/>
        <rFont val="Aptos Narrow"/>
        <family val="2"/>
        <scheme val="minor"/>
      </rPr>
      <t xml:space="preserve"> + </t>
    </r>
    <r>
      <rPr>
        <sz val="11"/>
        <color rgb="FF0066FF"/>
        <rFont val="Aptos Narrow"/>
        <family val="2"/>
        <scheme val="minor"/>
      </rPr>
      <t>(32)</t>
    </r>
    <r>
      <rPr>
        <sz val="11"/>
        <color theme="1"/>
        <rFont val="Aptos Narrow"/>
        <family val="2"/>
        <scheme val="minor"/>
      </rPr>
      <t xml:space="preserve"> +</t>
    </r>
    <r>
      <rPr>
        <sz val="11"/>
        <color rgb="FF0066FF"/>
        <rFont val="Aptos Narrow"/>
        <family val="2"/>
        <scheme val="minor"/>
      </rPr>
      <t xml:space="preserve"> (32a)</t>
    </r>
    <r>
      <rPr>
        <sz val="11"/>
        <color theme="1"/>
        <rFont val="Aptos Narrow"/>
        <family val="2"/>
        <scheme val="minor"/>
      </rPr>
      <t>...</t>
    </r>
    <r>
      <rPr>
        <sz val="11"/>
        <color rgb="FF0066FF"/>
        <rFont val="Aptos Narrow"/>
        <family val="2"/>
        <scheme val="minor"/>
      </rPr>
      <t>(32e)</t>
    </r>
  </si>
  <si>
    <t>(33)</t>
  </si>
  <si>
    <t>(34)</t>
  </si>
  <si>
    <r>
      <t>Thermal mass parameter (TMP = C</t>
    </r>
    <r>
      <rPr>
        <vertAlign val="subscript"/>
        <sz val="11"/>
        <color theme="1"/>
        <rFont val="Aptos Narrow"/>
        <family val="2"/>
        <scheme val="minor"/>
      </rPr>
      <t>m</t>
    </r>
    <r>
      <rPr>
        <sz val="11"/>
        <color theme="1"/>
        <rFont val="Aptos Narrow"/>
        <family val="2"/>
        <scheme val="minor"/>
      </rPr>
      <t xml:space="preserve"> ÷ TFA) in kJ/m²K</t>
    </r>
  </si>
  <si>
    <r>
      <rPr>
        <sz val="11"/>
        <color rgb="FF0066FF"/>
        <rFont val="Aptos Narrow"/>
        <family val="2"/>
        <scheme val="minor"/>
      </rPr>
      <t>(34)</t>
    </r>
    <r>
      <rPr>
        <sz val="11"/>
        <color theme="1"/>
        <rFont val="Aptos Narrow"/>
        <family val="2"/>
        <scheme val="minor"/>
      </rPr>
      <t xml:space="preserve"> ÷ </t>
    </r>
    <r>
      <rPr>
        <sz val="11"/>
        <color rgb="FF0066FF"/>
        <rFont val="Aptos Narrow"/>
        <family val="2"/>
        <scheme val="minor"/>
      </rPr>
      <t>(4)</t>
    </r>
  </si>
  <si>
    <t>(35)</t>
  </si>
  <si>
    <t>For design assessments where the details of the construction are not known precisely the</t>
  </si>
  <si>
    <t>indicative values of TMP in Table 1j can be used instead of a detailed calculation. Also TMP</t>
  </si>
  <si>
    <r>
      <t xml:space="preserve">calculated separately can be used in </t>
    </r>
    <r>
      <rPr>
        <i/>
        <sz val="11"/>
        <color rgb="FF0066FF"/>
        <rFont val="Aptos Narrow"/>
        <family val="2"/>
        <scheme val="minor"/>
      </rPr>
      <t>(35)</t>
    </r>
    <r>
      <rPr>
        <i/>
        <sz val="11"/>
        <color theme="1"/>
        <rFont val="Aptos Narrow"/>
        <family val="2"/>
        <scheme val="minor"/>
      </rPr>
      <t xml:space="preserve"> .</t>
    </r>
  </si>
  <si>
    <r>
      <t xml:space="preserve">Linear Thermal bridges: </t>
    </r>
    <r>
      <rPr>
        <sz val="11"/>
        <color theme="1"/>
        <rFont val="Aptos Narrow"/>
        <family val="2"/>
      </rPr>
      <t>∑</t>
    </r>
    <r>
      <rPr>
        <sz val="11"/>
        <color theme="1"/>
        <rFont val="Aptos Narrow"/>
        <family val="2"/>
        <scheme val="minor"/>
      </rPr>
      <t xml:space="preserve"> (L </t>
    </r>
    <r>
      <rPr>
        <sz val="11"/>
        <color theme="1"/>
        <rFont val="Aptos Narrow"/>
        <family val="2"/>
      </rPr>
      <t>×</t>
    </r>
    <r>
      <rPr>
        <sz val="11"/>
        <color theme="1"/>
        <rFont val="Aptos Narrow"/>
        <family val="2"/>
        <scheme val="minor"/>
      </rPr>
      <t xml:space="preserve"> </t>
    </r>
    <r>
      <rPr>
        <sz val="11"/>
        <color theme="1"/>
        <rFont val="Aptos Narrow"/>
        <family val="2"/>
      </rPr>
      <t>ψ</t>
    </r>
    <r>
      <rPr>
        <sz val="11"/>
        <color theme="1"/>
        <rFont val="Aptos Narrow"/>
        <family val="2"/>
        <scheme val="minor"/>
      </rPr>
      <t>) calculated using Appendix K</t>
    </r>
  </si>
  <si>
    <t>(36)</t>
  </si>
  <si>
    <r>
      <t xml:space="preserve">if details of thermal bridging are not known </t>
    </r>
    <r>
      <rPr>
        <i/>
        <sz val="11"/>
        <color rgb="FF0066FF"/>
        <rFont val="Aptos Narrow"/>
        <family val="2"/>
        <scheme val="minor"/>
      </rPr>
      <t>(36)</t>
    </r>
    <r>
      <rPr>
        <i/>
        <sz val="11"/>
        <color theme="1"/>
        <rFont val="Aptos Narrow"/>
        <family val="2"/>
        <scheme val="minor"/>
      </rPr>
      <t xml:space="preserve"> = 0.20</t>
    </r>
    <r>
      <rPr>
        <i/>
        <sz val="11"/>
        <color theme="1"/>
        <rFont val="Aptos Narrow"/>
        <family val="2"/>
      </rPr>
      <t>×</t>
    </r>
    <r>
      <rPr>
        <i/>
        <sz val="11"/>
        <color theme="1"/>
        <rFont val="Aptos Narrow"/>
        <family val="2"/>
        <scheme val="minor"/>
      </rPr>
      <t xml:space="preserve"> </t>
    </r>
    <r>
      <rPr>
        <i/>
        <sz val="11"/>
        <color rgb="FF0066FF"/>
        <rFont val="Aptos Narrow"/>
        <family val="2"/>
        <scheme val="minor"/>
      </rPr>
      <t>(31)</t>
    </r>
  </si>
  <si>
    <r>
      <t xml:space="preserve">Point Thermal bridges: </t>
    </r>
    <r>
      <rPr>
        <sz val="11"/>
        <color theme="1"/>
        <rFont val="Aptos Narrow"/>
        <family val="2"/>
      </rPr>
      <t>∑</t>
    </r>
    <r>
      <rPr>
        <sz val="11"/>
        <color theme="1"/>
        <rFont val="Aptos Narrow"/>
        <family val="2"/>
        <scheme val="minor"/>
      </rPr>
      <t>χ (W/K) if significant point thermal bridge present and values available</t>
    </r>
  </si>
  <si>
    <t>(36a)</t>
  </si>
  <si>
    <t>Total fabric heat loss H = Σ(A × U) + Σ(L × Ψ) +Σχ</t>
  </si>
  <si>
    <t>(37)</t>
  </si>
  <si>
    <r>
      <rPr>
        <sz val="11"/>
        <color rgb="FF0066FF"/>
        <rFont val="Aptos Narrow"/>
        <family val="2"/>
        <scheme val="minor"/>
      </rPr>
      <t>(33)</t>
    </r>
    <r>
      <rPr>
        <sz val="11"/>
        <color theme="1"/>
        <rFont val="Aptos Narrow"/>
        <family val="2"/>
        <scheme val="minor"/>
      </rPr>
      <t xml:space="preserve"> + </t>
    </r>
    <r>
      <rPr>
        <sz val="11"/>
        <color rgb="FF0066FF"/>
        <rFont val="Aptos Narrow"/>
        <family val="2"/>
        <scheme val="minor"/>
      </rPr>
      <t>(36)</t>
    </r>
    <r>
      <rPr>
        <sz val="11"/>
        <color theme="1"/>
        <rFont val="Aptos Narrow"/>
        <family val="2"/>
        <scheme val="minor"/>
      </rPr>
      <t xml:space="preserve"> + </t>
    </r>
    <r>
      <rPr>
        <sz val="11"/>
        <color rgb="FF0066FF"/>
        <rFont val="Aptos Narrow"/>
        <family val="2"/>
        <scheme val="minor"/>
      </rPr>
      <t>(36a)</t>
    </r>
  </si>
  <si>
    <t>Ventilation heat loss calculated monthly</t>
  </si>
  <si>
    <r>
      <rPr>
        <sz val="11"/>
        <color rgb="FF0066FF"/>
        <rFont val="Aptos Narrow"/>
        <family val="2"/>
        <scheme val="minor"/>
      </rPr>
      <t>(38)</t>
    </r>
    <r>
      <rPr>
        <vertAlign val="subscript"/>
        <sz val="11"/>
        <color rgb="FF0066FF"/>
        <rFont val="Aptos Narrow"/>
        <family val="2"/>
        <scheme val="minor"/>
      </rPr>
      <t>m</t>
    </r>
    <r>
      <rPr>
        <sz val="11"/>
        <color theme="1"/>
        <rFont val="Aptos Narrow"/>
        <family val="2"/>
        <scheme val="minor"/>
      </rPr>
      <t xml:space="preserve"> = 0.33 × </t>
    </r>
    <r>
      <rPr>
        <sz val="11"/>
        <color rgb="FF0066FF"/>
        <rFont val="Aptos Narrow"/>
        <family val="2"/>
        <scheme val="minor"/>
      </rPr>
      <t>(25)</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(5)</t>
    </r>
  </si>
  <si>
    <r>
      <t>(38)</t>
    </r>
    <r>
      <rPr>
        <vertAlign val="subscript"/>
        <sz val="11"/>
        <color theme="1"/>
        <rFont val="Aptos Narrow"/>
        <family val="2"/>
        <scheme val="minor"/>
      </rPr>
      <t>m</t>
    </r>
    <r>
      <rPr>
        <sz val="11"/>
        <color theme="1"/>
        <rFont val="Aptos Narrow"/>
        <family val="2"/>
        <scheme val="minor"/>
      </rPr>
      <t xml:space="preserve"> =</t>
    </r>
  </si>
  <si>
    <t>(38)</t>
  </si>
  <si>
    <t>(39)</t>
  </si>
  <si>
    <r>
      <t>(39)</t>
    </r>
    <r>
      <rPr>
        <vertAlign val="subscript"/>
        <sz val="11"/>
        <color theme="1"/>
        <rFont val="Aptos Narrow"/>
        <family val="2"/>
        <scheme val="minor"/>
      </rPr>
      <t>m</t>
    </r>
    <r>
      <rPr>
        <sz val="11"/>
        <color theme="1"/>
        <rFont val="Aptos Narrow"/>
        <family val="2"/>
        <scheme val="minor"/>
      </rPr>
      <t xml:space="preserve"> =</t>
    </r>
  </si>
  <si>
    <r>
      <t xml:space="preserve">Heat transfer coefficient, W/K </t>
    </r>
    <r>
      <rPr>
        <sz val="11"/>
        <color rgb="FF0066FF"/>
        <rFont val="Aptos Narrow"/>
        <family val="2"/>
        <scheme val="minor"/>
      </rPr>
      <t>(39)</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(37)</t>
    </r>
    <r>
      <rPr>
        <sz val="11"/>
        <color theme="1"/>
        <rFont val="Aptos Narrow"/>
        <family val="2"/>
        <scheme val="minor"/>
      </rPr>
      <t xml:space="preserve"> + </t>
    </r>
    <r>
      <rPr>
        <sz val="11"/>
        <color rgb="FF0066FF"/>
        <rFont val="Aptos Narrow"/>
        <family val="2"/>
        <scheme val="minor"/>
      </rPr>
      <t>(38)</t>
    </r>
    <r>
      <rPr>
        <vertAlign val="subscript"/>
        <sz val="11"/>
        <color rgb="FF0066FF"/>
        <rFont val="Aptos Narrow"/>
        <family val="2"/>
        <scheme val="minor"/>
      </rPr>
      <t>m</t>
    </r>
  </si>
  <si>
    <r>
      <t xml:space="preserve">Heat loss parameter (HLP), W/m²K </t>
    </r>
    <r>
      <rPr>
        <sz val="11"/>
        <color rgb="FF0066FF"/>
        <rFont val="Aptos Narrow"/>
        <family val="2"/>
        <scheme val="minor"/>
      </rPr>
      <t>(40)</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(39)</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(4)</t>
    </r>
  </si>
  <si>
    <r>
      <t>(40)</t>
    </r>
    <r>
      <rPr>
        <vertAlign val="subscript"/>
        <sz val="11"/>
        <color theme="1"/>
        <rFont val="Aptos Narrow"/>
        <family val="2"/>
        <scheme val="minor"/>
      </rPr>
      <t>m</t>
    </r>
    <r>
      <rPr>
        <sz val="11"/>
        <color theme="1"/>
        <rFont val="Aptos Narrow"/>
        <family val="2"/>
        <scheme val="minor"/>
      </rPr>
      <t xml:space="preserve"> =</t>
    </r>
  </si>
  <si>
    <t>(40)</t>
  </si>
  <si>
    <r>
      <t xml:space="preserve">Average = </t>
    </r>
    <r>
      <rPr>
        <sz val="11"/>
        <color theme="1"/>
        <rFont val="Aptos Narrow"/>
        <family val="2"/>
      </rPr>
      <t>∑</t>
    </r>
    <r>
      <rPr>
        <sz val="11"/>
        <color theme="1"/>
        <rFont val="Aptos Narrow"/>
        <family val="2"/>
        <scheme val="minor"/>
      </rPr>
      <t>(39)</t>
    </r>
    <r>
      <rPr>
        <vertAlign val="subscript"/>
        <sz val="11"/>
        <color theme="1"/>
        <rFont val="Aptos Narrow"/>
        <family val="2"/>
        <scheme val="minor"/>
      </rPr>
      <t>1…12</t>
    </r>
    <r>
      <rPr>
        <sz val="11"/>
        <color theme="1"/>
        <rFont val="Aptos Narrow"/>
        <family val="2"/>
        <scheme val="minor"/>
      </rPr>
      <t xml:space="preserve"> /12 =</t>
    </r>
  </si>
  <si>
    <r>
      <t xml:space="preserve">Average = </t>
    </r>
    <r>
      <rPr>
        <sz val="11"/>
        <color theme="1"/>
        <rFont val="Aptos Narrow"/>
        <family val="2"/>
      </rPr>
      <t>∑</t>
    </r>
    <r>
      <rPr>
        <sz val="11"/>
        <color theme="1"/>
        <rFont val="Aptos Narrow"/>
        <family val="2"/>
        <scheme val="minor"/>
      </rPr>
      <t>(40)</t>
    </r>
    <r>
      <rPr>
        <vertAlign val="subscript"/>
        <sz val="11"/>
        <color theme="1"/>
        <rFont val="Aptos Narrow"/>
        <family val="2"/>
        <scheme val="minor"/>
      </rPr>
      <t>1…12</t>
    </r>
    <r>
      <rPr>
        <sz val="11"/>
        <color theme="1"/>
        <rFont val="Aptos Narrow"/>
        <family val="2"/>
        <scheme val="minor"/>
      </rPr>
      <t xml:space="preserve"> /12 =</t>
    </r>
  </si>
  <si>
    <t>Number of days in month (Table 1a)</t>
  </si>
  <si>
    <r>
      <t>(41)</t>
    </r>
    <r>
      <rPr>
        <vertAlign val="subscript"/>
        <sz val="11"/>
        <color theme="1"/>
        <rFont val="Aptos Narrow"/>
        <family val="2"/>
        <scheme val="minor"/>
      </rPr>
      <t>m</t>
    </r>
    <r>
      <rPr>
        <sz val="11"/>
        <color theme="1"/>
        <rFont val="Aptos Narrow"/>
        <family val="2"/>
        <scheme val="minor"/>
      </rPr>
      <t xml:space="preserve"> =</t>
    </r>
  </si>
  <si>
    <t>(41)</t>
  </si>
  <si>
    <t>4. Water heating energy requirement</t>
  </si>
  <si>
    <t>Assumed occupancy, N</t>
  </si>
  <si>
    <r>
      <t xml:space="preserve">if TFA &gt; 13.9, N = 1 + 1.76 </t>
    </r>
    <r>
      <rPr>
        <sz val="11"/>
        <color theme="1"/>
        <rFont val="Aptos Narrow"/>
        <family val="2"/>
      </rPr>
      <t>×</t>
    </r>
    <r>
      <rPr>
        <sz val="11"/>
        <color theme="1"/>
        <rFont val="Aptos Narrow"/>
        <family val="2"/>
        <scheme val="minor"/>
      </rPr>
      <t xml:space="preserve"> [1 - exp(-0.000349 </t>
    </r>
    <r>
      <rPr>
        <sz val="11"/>
        <color theme="1"/>
        <rFont val="Aptos Narrow"/>
        <family val="2"/>
      </rPr>
      <t>×</t>
    </r>
    <r>
      <rPr>
        <sz val="11"/>
        <color theme="1"/>
        <rFont val="Aptos Narrow"/>
        <family val="2"/>
        <scheme val="minor"/>
      </rPr>
      <t xml:space="preserve"> (TFA -13.9)</t>
    </r>
    <r>
      <rPr>
        <vertAlign val="superscript"/>
        <sz val="11"/>
        <color theme="1"/>
        <rFont val="Aptos Narrow"/>
        <family val="2"/>
        <scheme val="minor"/>
      </rPr>
      <t>2</t>
    </r>
    <r>
      <rPr>
        <sz val="11"/>
        <color theme="1"/>
        <rFont val="Aptos Narrow"/>
        <family val="2"/>
        <scheme val="minor"/>
      </rPr>
      <t xml:space="preserve">)] + 0.0013 </t>
    </r>
    <r>
      <rPr>
        <sz val="11"/>
        <color theme="1"/>
        <rFont val="Aptos Narrow"/>
        <family val="2"/>
      </rPr>
      <t>×</t>
    </r>
    <r>
      <rPr>
        <sz val="11"/>
        <color theme="1"/>
        <rFont val="Aptos Narrow"/>
        <family val="2"/>
        <scheme val="minor"/>
      </rPr>
      <t xml:space="preserve"> (TFA -13.9)</t>
    </r>
  </si>
  <si>
    <r>
      <t xml:space="preserve">if TFA </t>
    </r>
    <r>
      <rPr>
        <sz val="11"/>
        <color theme="1"/>
        <rFont val="Aptos Narrow"/>
        <family val="2"/>
      </rPr>
      <t>≤</t>
    </r>
    <r>
      <rPr>
        <sz val="11"/>
        <color theme="1"/>
        <rFont val="Aptos Narrow"/>
        <family val="2"/>
        <scheme val="minor"/>
      </rPr>
      <t xml:space="preserve"> 13.9, N = 1</t>
    </r>
  </si>
  <si>
    <t>(42)</t>
  </si>
  <si>
    <t>(42a)</t>
  </si>
  <si>
    <r>
      <t>Hot water usage in litres per day for mixer showers, V</t>
    </r>
    <r>
      <rPr>
        <vertAlign val="subscript"/>
        <sz val="11"/>
        <color theme="1"/>
        <rFont val="Aptos Narrow"/>
        <family val="2"/>
        <scheme val="minor"/>
      </rPr>
      <t>d,shower</t>
    </r>
    <r>
      <rPr>
        <sz val="11"/>
        <color theme="1"/>
        <rFont val="Aptos Narrow"/>
        <family val="2"/>
        <scheme val="minor"/>
      </rPr>
      <t xml:space="preserve"> (from Appendix J)</t>
    </r>
  </si>
  <si>
    <r>
      <t>Hot water usage in litres per day for baths, V</t>
    </r>
    <r>
      <rPr>
        <vertAlign val="subscript"/>
        <sz val="11"/>
        <color theme="1"/>
        <rFont val="Aptos Narrow"/>
        <family val="2"/>
        <scheme val="minor"/>
      </rPr>
      <t>d,bath</t>
    </r>
    <r>
      <rPr>
        <sz val="11"/>
        <color theme="1"/>
        <rFont val="Aptos Narrow"/>
        <family val="2"/>
        <scheme val="minor"/>
      </rPr>
      <t xml:space="preserve"> (from Appendix J)</t>
    </r>
  </si>
  <si>
    <r>
      <t>(42a)</t>
    </r>
    <r>
      <rPr>
        <vertAlign val="subscript"/>
        <sz val="11"/>
        <color theme="1"/>
        <rFont val="Aptos Narrow"/>
        <family val="2"/>
        <scheme val="minor"/>
      </rPr>
      <t>m</t>
    </r>
    <r>
      <rPr>
        <sz val="11"/>
        <color theme="1"/>
        <rFont val="Aptos Narrow"/>
        <family val="2"/>
        <scheme val="minor"/>
      </rPr>
      <t xml:space="preserve"> =</t>
    </r>
  </si>
  <si>
    <r>
      <t>Hot water usage in litres per day for other uses, V</t>
    </r>
    <r>
      <rPr>
        <vertAlign val="subscript"/>
        <sz val="11"/>
        <color theme="1"/>
        <rFont val="Aptos Narrow"/>
        <family val="2"/>
        <scheme val="minor"/>
      </rPr>
      <t>d,other</t>
    </r>
    <r>
      <rPr>
        <sz val="11"/>
        <color theme="1"/>
        <rFont val="Aptos Narrow"/>
        <family val="2"/>
        <scheme val="minor"/>
      </rPr>
      <t xml:space="preserve"> (from Appendix J)</t>
    </r>
  </si>
  <si>
    <r>
      <t>(42b)</t>
    </r>
    <r>
      <rPr>
        <vertAlign val="subscript"/>
        <sz val="11"/>
        <color theme="1"/>
        <rFont val="Aptos Narrow"/>
        <family val="2"/>
        <scheme val="minor"/>
      </rPr>
      <t>m</t>
    </r>
    <r>
      <rPr>
        <sz val="11"/>
        <color theme="1"/>
        <rFont val="Aptos Narrow"/>
        <family val="2"/>
        <scheme val="minor"/>
      </rPr>
      <t xml:space="preserve"> =</t>
    </r>
  </si>
  <si>
    <r>
      <t>(42c)</t>
    </r>
    <r>
      <rPr>
        <vertAlign val="subscript"/>
        <sz val="11"/>
        <color theme="1"/>
        <rFont val="Aptos Narrow"/>
        <family val="2"/>
        <scheme val="minor"/>
      </rPr>
      <t>m</t>
    </r>
    <r>
      <rPr>
        <sz val="11"/>
        <color theme="1"/>
        <rFont val="Aptos Narrow"/>
        <family val="2"/>
        <scheme val="minor"/>
      </rPr>
      <t xml:space="preserve"> =</t>
    </r>
  </si>
  <si>
    <t>(42b)</t>
  </si>
  <si>
    <t>(42c)</t>
  </si>
  <si>
    <r>
      <t>Annual average hot water usage in litres per day V</t>
    </r>
    <r>
      <rPr>
        <vertAlign val="subscript"/>
        <sz val="11"/>
        <color theme="1"/>
        <rFont val="Aptos Narrow"/>
        <family val="2"/>
        <scheme val="minor"/>
      </rPr>
      <t>d,average</t>
    </r>
    <r>
      <rPr>
        <sz val="11"/>
        <color theme="1"/>
        <rFont val="Aptos Narrow"/>
        <family val="2"/>
        <scheme val="minor"/>
      </rPr>
      <t xml:space="preserve"> (from Appendix J)</t>
    </r>
  </si>
  <si>
    <t>(43)</t>
  </si>
  <si>
    <r>
      <t>Hot water usage in litres per day for each month V</t>
    </r>
    <r>
      <rPr>
        <vertAlign val="subscript"/>
        <sz val="11"/>
        <color theme="1"/>
        <rFont val="Aptos Narrow"/>
        <family val="2"/>
        <scheme val="minor"/>
      </rPr>
      <t>d,m</t>
    </r>
    <r>
      <rPr>
        <sz val="11"/>
        <color theme="1"/>
        <rFont val="Aptos Narrow"/>
        <family val="2"/>
        <scheme val="minor"/>
      </rPr>
      <t xml:space="preserve"> = (42a) + (42b) + (42c)</t>
    </r>
  </si>
  <si>
    <t>(44)</t>
  </si>
  <si>
    <r>
      <t>(44)</t>
    </r>
    <r>
      <rPr>
        <vertAlign val="subscript"/>
        <sz val="11"/>
        <color theme="1"/>
        <rFont val="Aptos Narrow"/>
        <family val="2"/>
        <scheme val="minor"/>
      </rPr>
      <t>m</t>
    </r>
    <r>
      <rPr>
        <sz val="11"/>
        <color theme="1"/>
        <rFont val="Aptos Narrow"/>
        <family val="2"/>
        <scheme val="minor"/>
      </rPr>
      <t xml:space="preserve"> =</t>
    </r>
  </si>
  <si>
    <r>
      <t xml:space="preserve">Energy content of hot water used = 4.18 </t>
    </r>
    <r>
      <rPr>
        <sz val="11"/>
        <color theme="1"/>
        <rFont val="Aptos Narrow"/>
        <family val="2"/>
      </rPr>
      <t>×</t>
    </r>
    <r>
      <rPr>
        <sz val="11"/>
        <color theme="1"/>
        <rFont val="Aptos Narrow"/>
        <family val="2"/>
        <scheme val="minor"/>
      </rPr>
      <t xml:space="preserve"> V</t>
    </r>
    <r>
      <rPr>
        <vertAlign val="subscript"/>
        <sz val="11"/>
        <color theme="1"/>
        <rFont val="Aptos Narrow"/>
        <family val="2"/>
        <scheme val="minor"/>
      </rPr>
      <t>d,m</t>
    </r>
    <r>
      <rPr>
        <sz val="11"/>
        <color theme="1"/>
        <rFont val="Aptos Narrow"/>
        <family val="2"/>
        <scheme val="minor"/>
      </rPr>
      <t xml:space="preserve"> × n</t>
    </r>
    <r>
      <rPr>
        <vertAlign val="subscript"/>
        <sz val="11"/>
        <color theme="1"/>
        <rFont val="Aptos Narrow"/>
        <family val="2"/>
        <scheme val="minor"/>
      </rPr>
      <t>m</t>
    </r>
    <r>
      <rPr>
        <sz val="11"/>
        <color theme="1"/>
        <rFont val="Aptos Narrow"/>
        <family val="2"/>
        <scheme val="minor"/>
      </rPr>
      <t xml:space="preserve"> × </t>
    </r>
    <r>
      <rPr>
        <sz val="11"/>
        <color theme="1"/>
        <rFont val="Aptos Narrow"/>
        <family val="2"/>
      </rPr>
      <t>Δ</t>
    </r>
    <r>
      <rPr>
        <sz val="11"/>
        <color theme="1"/>
        <rFont val="Aptos Narrow"/>
        <family val="2"/>
        <scheme val="minor"/>
      </rPr>
      <t>T</t>
    </r>
    <r>
      <rPr>
        <vertAlign val="subscript"/>
        <sz val="11"/>
        <color theme="1"/>
        <rFont val="Aptos Narrow"/>
        <family val="2"/>
        <scheme val="minor"/>
      </rPr>
      <t>m</t>
    </r>
    <r>
      <rPr>
        <sz val="11"/>
        <color theme="1"/>
        <rFont val="Aptos Narrow"/>
        <family val="2"/>
        <scheme val="minor"/>
      </rPr>
      <t xml:space="preserve"> / 3600 kWh/month (from Appendix J)</t>
    </r>
  </si>
  <si>
    <r>
      <t>(45)</t>
    </r>
    <r>
      <rPr>
        <vertAlign val="subscript"/>
        <sz val="11"/>
        <color theme="1"/>
        <rFont val="Aptos Narrow"/>
        <family val="2"/>
        <scheme val="minor"/>
      </rPr>
      <t>m</t>
    </r>
    <r>
      <rPr>
        <sz val="11"/>
        <color theme="1"/>
        <rFont val="Aptos Narrow"/>
        <family val="2"/>
        <scheme val="minor"/>
      </rPr>
      <t xml:space="preserve"> =</t>
    </r>
  </si>
  <si>
    <t>(45)</t>
  </si>
  <si>
    <r>
      <t>Total =</t>
    </r>
    <r>
      <rPr>
        <sz val="11"/>
        <color theme="1"/>
        <rFont val="Aptos Narrow"/>
        <family val="2"/>
      </rPr>
      <t>∑</t>
    </r>
    <r>
      <rPr>
        <sz val="11"/>
        <color theme="1"/>
        <rFont val="Aptos Narrow"/>
        <family val="2"/>
        <scheme val="minor"/>
      </rPr>
      <t>(45)</t>
    </r>
    <r>
      <rPr>
        <vertAlign val="subscript"/>
        <sz val="11"/>
        <color theme="1"/>
        <rFont val="Aptos Narrow"/>
        <family val="2"/>
        <scheme val="minor"/>
      </rPr>
      <t>1…12</t>
    </r>
    <r>
      <rPr>
        <sz val="11"/>
        <color theme="1"/>
        <rFont val="Aptos Narrow"/>
        <family val="2"/>
        <scheme val="minor"/>
      </rPr>
      <t xml:space="preserve"> = </t>
    </r>
  </si>
  <si>
    <t>For heat networks include distribution loss whether or not hot water tank is present</t>
  </si>
  <si>
    <r>
      <t xml:space="preserve">If instantaneous water heating at point of use (no hot water storage), enter “0” in </t>
    </r>
    <r>
      <rPr>
        <i/>
        <sz val="11"/>
        <color rgb="FF0066FF"/>
        <rFont val="Aptos Narrow"/>
        <family val="2"/>
        <scheme val="minor"/>
      </rPr>
      <t>(46)</t>
    </r>
    <r>
      <rPr>
        <i/>
        <sz val="11"/>
        <color theme="1"/>
        <rFont val="Aptos Narrow"/>
        <family val="2"/>
        <scheme val="minor"/>
      </rPr>
      <t xml:space="preserve"> to </t>
    </r>
    <r>
      <rPr>
        <i/>
        <sz val="11"/>
        <color rgb="FF0066FF"/>
        <rFont val="Aptos Narrow"/>
        <family val="2"/>
        <scheme val="minor"/>
      </rPr>
      <t>(61)</t>
    </r>
  </si>
  <si>
    <r>
      <t xml:space="preserve">Distribution loss </t>
    </r>
    <r>
      <rPr>
        <sz val="11"/>
        <color rgb="FF0066FF"/>
        <rFont val="Aptos Narrow"/>
        <family val="2"/>
        <scheme val="minor"/>
      </rPr>
      <t>(46)</t>
    </r>
    <r>
      <rPr>
        <vertAlign val="subscript"/>
        <sz val="11"/>
        <color rgb="FF0066FF"/>
        <rFont val="Aptos Narrow"/>
        <family val="2"/>
        <scheme val="minor"/>
      </rPr>
      <t>m</t>
    </r>
    <r>
      <rPr>
        <sz val="11"/>
        <color theme="1"/>
        <rFont val="Aptos Narrow"/>
        <family val="2"/>
        <scheme val="minor"/>
      </rPr>
      <t xml:space="preserve"> = 0.15 x </t>
    </r>
    <r>
      <rPr>
        <sz val="11"/>
        <color rgb="FF0066FF"/>
        <rFont val="Aptos Narrow"/>
        <family val="2"/>
        <scheme val="minor"/>
      </rPr>
      <t>(45)</t>
    </r>
    <r>
      <rPr>
        <vertAlign val="subscript"/>
        <sz val="11"/>
        <color rgb="FF0066FF"/>
        <rFont val="Aptos Narrow"/>
        <family val="2"/>
        <scheme val="minor"/>
      </rPr>
      <t>m</t>
    </r>
  </si>
  <si>
    <r>
      <t>(46)</t>
    </r>
    <r>
      <rPr>
        <vertAlign val="subscript"/>
        <sz val="11"/>
        <color theme="1"/>
        <rFont val="Aptos Narrow"/>
        <family val="2"/>
        <scheme val="minor"/>
      </rPr>
      <t>m</t>
    </r>
    <r>
      <rPr>
        <sz val="11"/>
        <color theme="1"/>
        <rFont val="Aptos Narrow"/>
        <family val="2"/>
        <scheme val="minor"/>
      </rPr>
      <t xml:space="preserve"> =</t>
    </r>
  </si>
  <si>
    <t>(46)</t>
  </si>
  <si>
    <t>Storage volume (litres) including any solar or WWHRS storage within same vessel</t>
  </si>
  <si>
    <t>(47)</t>
  </si>
  <si>
    <r>
      <t xml:space="preserve">If heat network and no tank in dwelling, enter 110 litres in </t>
    </r>
    <r>
      <rPr>
        <i/>
        <sz val="11"/>
        <color rgb="FF0066FF"/>
        <rFont val="Aptos Narrow"/>
        <family val="2"/>
        <scheme val="minor"/>
      </rPr>
      <t>(47)</t>
    </r>
  </si>
  <si>
    <r>
      <t xml:space="preserve">Otherwise if no stored hot water (this includes instantaneous combi boilers) enter ‘0’ in </t>
    </r>
    <r>
      <rPr>
        <i/>
        <sz val="11"/>
        <color rgb="FF0066FF"/>
        <rFont val="Aptos Narrow"/>
        <family val="2"/>
        <scheme val="minor"/>
      </rPr>
      <t>(47)</t>
    </r>
  </si>
  <si>
    <t>Water storage loss (or HIU loss):</t>
  </si>
  <si>
    <t>a) If manufacturer’s declared loss factor is known (kWh/day):</t>
  </si>
  <si>
    <t>Temperature factor from Table 2b</t>
  </si>
  <si>
    <r>
      <t xml:space="preserve">Energy lost from water storage, kWh/day          </t>
    </r>
    <r>
      <rPr>
        <sz val="11"/>
        <color rgb="FF0066FF"/>
        <rFont val="Aptos Narrow"/>
        <family val="2"/>
        <scheme val="minor"/>
      </rPr>
      <t>(48)</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(49)</t>
    </r>
    <r>
      <rPr>
        <sz val="11"/>
        <color theme="1"/>
        <rFont val="Aptos Narrow"/>
        <family val="2"/>
        <scheme val="minor"/>
      </rPr>
      <t xml:space="preserve"> =</t>
    </r>
  </si>
  <si>
    <t>b) If manufacturer’s declared loss factor is not known :</t>
  </si>
  <si>
    <t>Hot water storage loss factor from Table 2 (kWh/litre/day)</t>
  </si>
  <si>
    <t>If heat network see section 4.3</t>
  </si>
  <si>
    <t>Volume factor from Table 2a</t>
  </si>
  <si>
    <r>
      <t xml:space="preserve">Energy lost from water storage, kWh/day         </t>
    </r>
    <r>
      <rPr>
        <sz val="11"/>
        <color rgb="FF0066FF"/>
        <rFont val="Aptos Narrow"/>
        <family val="2"/>
        <scheme val="minor"/>
      </rPr>
      <t>(47)</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(51)</t>
    </r>
    <r>
      <rPr>
        <sz val="11"/>
        <color theme="1"/>
        <rFont val="Aptos Narrow"/>
        <family val="2"/>
        <scheme val="minor"/>
      </rPr>
      <t xml:space="preserve"> × </t>
    </r>
    <r>
      <rPr>
        <sz val="11"/>
        <color rgb="FF0066FF"/>
        <rFont val="Aptos Narrow"/>
        <family val="2"/>
        <scheme val="minor"/>
      </rPr>
      <t>(52)</t>
    </r>
    <r>
      <rPr>
        <sz val="11"/>
        <color theme="1"/>
        <rFont val="Aptos Narrow"/>
        <family val="2"/>
        <scheme val="minor"/>
      </rPr>
      <t xml:space="preserve"> × </t>
    </r>
    <r>
      <rPr>
        <sz val="11"/>
        <color rgb="FF0066FF"/>
        <rFont val="Aptos Narrow"/>
        <family val="2"/>
        <scheme val="minor"/>
      </rPr>
      <t>(53)</t>
    </r>
    <r>
      <rPr>
        <sz val="11"/>
        <color theme="1"/>
        <rFont val="Aptos Narrow"/>
        <family val="2"/>
        <scheme val="minor"/>
      </rPr>
      <t xml:space="preserve"> =</t>
    </r>
  </si>
  <si>
    <r>
      <t xml:space="preserve">Enter </t>
    </r>
    <r>
      <rPr>
        <sz val="11"/>
        <color rgb="FF0066FF"/>
        <rFont val="Aptos Narrow"/>
        <family val="2"/>
        <scheme val="minor"/>
      </rPr>
      <t>(50)</t>
    </r>
    <r>
      <rPr>
        <sz val="11"/>
        <color theme="1"/>
        <rFont val="Aptos Narrow"/>
        <family val="2"/>
        <scheme val="minor"/>
      </rPr>
      <t xml:space="preserve"> or </t>
    </r>
    <r>
      <rPr>
        <sz val="11"/>
        <color rgb="FF0066FF"/>
        <rFont val="Aptos Narrow"/>
        <family val="2"/>
        <scheme val="minor"/>
      </rPr>
      <t>(54)</t>
    </r>
    <r>
      <rPr>
        <sz val="11"/>
        <color theme="1"/>
        <rFont val="Aptos Narrow"/>
        <family val="2"/>
        <scheme val="minor"/>
      </rPr>
      <t xml:space="preserve"> in </t>
    </r>
    <r>
      <rPr>
        <sz val="11"/>
        <color rgb="FF0066FF"/>
        <rFont val="Aptos Narrow"/>
        <family val="2"/>
        <scheme val="minor"/>
      </rPr>
      <t>(55)</t>
    </r>
  </si>
  <si>
    <t>(48)</t>
  </si>
  <si>
    <t>(49)</t>
  </si>
  <si>
    <t>(50)</t>
  </si>
  <si>
    <t>(51)</t>
  </si>
  <si>
    <t>(53)</t>
  </si>
  <si>
    <t>(54)</t>
  </si>
  <si>
    <t>(55)</t>
  </si>
  <si>
    <r>
      <t xml:space="preserve">Water storage (or HIU) loss calculated for each month </t>
    </r>
    <r>
      <rPr>
        <sz val="11"/>
        <color rgb="FF0066FF"/>
        <rFont val="Aptos Narrow"/>
        <family val="2"/>
        <scheme val="minor"/>
      </rPr>
      <t>(56)</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(55)</t>
    </r>
    <r>
      <rPr>
        <sz val="11"/>
        <color theme="1"/>
        <rFont val="Aptos Narrow"/>
        <family val="2"/>
        <scheme val="minor"/>
      </rPr>
      <t xml:space="preserve"> × </t>
    </r>
    <r>
      <rPr>
        <sz val="11"/>
        <color rgb="FF0066FF"/>
        <rFont val="Aptos Narrow"/>
        <family val="2"/>
        <scheme val="minor"/>
      </rPr>
      <t>(41)</t>
    </r>
    <r>
      <rPr>
        <vertAlign val="subscript"/>
        <sz val="11"/>
        <color rgb="FF0066FF"/>
        <rFont val="Aptos Narrow"/>
        <family val="2"/>
        <scheme val="minor"/>
      </rPr>
      <t>m</t>
    </r>
  </si>
  <si>
    <r>
      <t>(56)</t>
    </r>
    <r>
      <rPr>
        <vertAlign val="subscript"/>
        <sz val="11"/>
        <color theme="1"/>
        <rFont val="Aptos Narrow"/>
        <family val="2"/>
        <scheme val="minor"/>
      </rPr>
      <t>m</t>
    </r>
    <r>
      <rPr>
        <sz val="11"/>
        <color theme="1"/>
        <rFont val="Aptos Narrow"/>
        <family val="2"/>
        <scheme val="minor"/>
      </rPr>
      <t xml:space="preserve"> =</t>
    </r>
  </si>
  <si>
    <t>(56)</t>
  </si>
  <si>
    <t>If the vessel contains dedicated solar storage or dedicated WWHRS storage,</t>
  </si>
  <si>
    <r>
      <rPr>
        <sz val="11"/>
        <color rgb="FF0066FF"/>
        <rFont val="Aptos Narrow"/>
        <family val="2"/>
        <scheme val="minor"/>
      </rPr>
      <t>(57)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(56)</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(47)</t>
    </r>
    <r>
      <rPr>
        <sz val="11"/>
        <color theme="1"/>
        <rFont val="Aptos Narrow"/>
        <family val="2"/>
        <scheme val="minor"/>
      </rPr>
      <t xml:space="preserve"> – Vs] ÷ </t>
    </r>
    <r>
      <rPr>
        <sz val="11"/>
        <color rgb="FF0066FF"/>
        <rFont val="Aptos Narrow"/>
        <family val="2"/>
        <scheme val="minor"/>
      </rPr>
      <t>(47)</t>
    </r>
    <r>
      <rPr>
        <sz val="11"/>
        <color theme="1"/>
        <rFont val="Aptos Narrow"/>
        <family val="2"/>
        <scheme val="minor"/>
      </rPr>
      <t xml:space="preserve">, else </t>
    </r>
    <r>
      <rPr>
        <sz val="11"/>
        <color rgb="FF0066FF"/>
        <rFont val="Aptos Narrow"/>
        <family val="2"/>
        <scheme val="minor"/>
      </rPr>
      <t>(57)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(56)</t>
    </r>
    <r>
      <rPr>
        <vertAlign val="subscript"/>
        <sz val="11"/>
        <color rgb="FF0066FF"/>
        <rFont val="Aptos Narrow"/>
        <family val="2"/>
        <scheme val="minor"/>
      </rPr>
      <t>m</t>
    </r>
  </si>
  <si>
    <r>
      <t xml:space="preserve">where Vs is Vww from Appendix G3 or </t>
    </r>
    <r>
      <rPr>
        <sz val="11"/>
        <color rgb="FF0066FF"/>
        <rFont val="Aptos Narrow"/>
        <family val="2"/>
        <scheme val="minor"/>
      </rPr>
      <t>(H12)</t>
    </r>
    <r>
      <rPr>
        <sz val="11"/>
        <color theme="1"/>
        <rFont val="Aptos Narrow"/>
        <family val="2"/>
        <scheme val="minor"/>
      </rPr>
      <t xml:space="preserve"> from Appendix H (as applicable).</t>
    </r>
  </si>
  <si>
    <r>
      <t>(57)</t>
    </r>
    <r>
      <rPr>
        <vertAlign val="subscript"/>
        <sz val="11"/>
        <color theme="1"/>
        <rFont val="Aptos Narrow"/>
        <family val="2"/>
        <scheme val="minor"/>
      </rPr>
      <t>m</t>
    </r>
    <r>
      <rPr>
        <sz val="11"/>
        <color theme="1"/>
        <rFont val="Aptos Narrow"/>
        <family val="2"/>
        <scheme val="minor"/>
      </rPr>
      <t xml:space="preserve"> =</t>
    </r>
  </si>
  <si>
    <t>(57)</t>
  </si>
  <si>
    <t>Primary circuit loss for each month from Table 3</t>
  </si>
  <si>
    <t>(modified by factor from Table H4 if there is solar water heating and a cylinder thermostat, although not for</t>
  </si>
  <si>
    <t>DHW-only heat networks)</t>
  </si>
  <si>
    <t>WWHRS DHW input calculated using Appendix G (negative quantity) (enter “0” if no WWHRS contribution to water heating)</t>
  </si>
  <si>
    <t>PV diverter DHW input calculated using Appendix G (negative quantity) (enter “0” if no PV diverter contribution)</t>
  </si>
  <si>
    <t>Solar DHW input calculated using Appendix H (negative quantity) (enter “0” if no solar contribution to water heating)</t>
  </si>
  <si>
    <t>FGHRS DHW input calculated using Appendix G (negative quantity) (enter “0” if no FGHRS contribution to water heating)</t>
  </si>
  <si>
    <t>Energy used by instantaneous electric shower(s), kWh/month (from Appendix J)</t>
  </si>
  <si>
    <r>
      <t xml:space="preserve">Total per year (kWh/year) = </t>
    </r>
    <r>
      <rPr>
        <sz val="11"/>
        <color theme="1"/>
        <rFont val="Aptos Narrow"/>
        <family val="2"/>
      </rPr>
      <t>∑</t>
    </r>
    <r>
      <rPr>
        <sz val="11"/>
        <color theme="1"/>
        <rFont val="Aptos Narrow"/>
        <family val="2"/>
        <scheme val="minor"/>
      </rPr>
      <t>(64)</t>
    </r>
    <r>
      <rPr>
        <vertAlign val="subscript"/>
        <sz val="11"/>
        <color theme="1"/>
        <rFont val="Aptos Narrow"/>
        <family val="2"/>
        <scheme val="minor"/>
      </rPr>
      <t>1…12</t>
    </r>
    <r>
      <rPr>
        <sz val="11"/>
        <color theme="1"/>
        <rFont val="Aptos Narrow"/>
        <family val="2"/>
        <scheme val="minor"/>
      </rPr>
      <t xml:space="preserve"> = </t>
    </r>
  </si>
  <si>
    <t>If a thermal store is present it is assumed to be inside the heated space</t>
  </si>
  <si>
    <r>
      <t>(61)</t>
    </r>
    <r>
      <rPr>
        <vertAlign val="subscript"/>
        <sz val="11"/>
        <color theme="1"/>
        <rFont val="Aptos Narrow"/>
        <family val="2"/>
        <scheme val="minor"/>
      </rPr>
      <t>m</t>
    </r>
    <r>
      <rPr>
        <sz val="11"/>
        <color theme="1"/>
        <rFont val="Aptos Narrow"/>
        <family val="2"/>
        <scheme val="minor"/>
      </rPr>
      <t xml:space="preserve"> =</t>
    </r>
  </si>
  <si>
    <r>
      <t>(62)</t>
    </r>
    <r>
      <rPr>
        <vertAlign val="subscript"/>
        <sz val="11"/>
        <color theme="1"/>
        <rFont val="Aptos Narrow"/>
        <family val="2"/>
        <scheme val="minor"/>
      </rPr>
      <t>m</t>
    </r>
    <r>
      <rPr>
        <sz val="11"/>
        <color theme="1"/>
        <rFont val="Aptos Narrow"/>
        <family val="2"/>
        <scheme val="minor"/>
      </rPr>
      <t xml:space="preserve"> =</t>
    </r>
  </si>
  <si>
    <r>
      <t>(64)</t>
    </r>
    <r>
      <rPr>
        <vertAlign val="subscript"/>
        <sz val="11"/>
        <color theme="1"/>
        <rFont val="Aptos Narrow"/>
        <family val="2"/>
        <scheme val="minor"/>
      </rPr>
      <t>m</t>
    </r>
    <r>
      <rPr>
        <sz val="11"/>
        <color theme="1"/>
        <rFont val="Aptos Narrow"/>
        <family val="2"/>
        <scheme val="minor"/>
      </rPr>
      <t xml:space="preserve"> =</t>
    </r>
  </si>
  <si>
    <r>
      <t>(65)</t>
    </r>
    <r>
      <rPr>
        <vertAlign val="subscript"/>
        <sz val="11"/>
        <color theme="1"/>
        <rFont val="Aptos Narrow"/>
        <family val="2"/>
        <scheme val="minor"/>
      </rPr>
      <t>m</t>
    </r>
    <r>
      <rPr>
        <sz val="11"/>
        <color theme="1"/>
        <rFont val="Aptos Narrow"/>
        <family val="2"/>
        <scheme val="minor"/>
      </rPr>
      <t xml:space="preserve"> =</t>
    </r>
  </si>
  <si>
    <r>
      <t>(66)</t>
    </r>
    <r>
      <rPr>
        <vertAlign val="subscript"/>
        <sz val="11"/>
        <color theme="1"/>
        <rFont val="Aptos Narrow"/>
        <family val="2"/>
        <scheme val="minor"/>
      </rPr>
      <t>m</t>
    </r>
    <r>
      <rPr>
        <sz val="11"/>
        <color theme="1"/>
        <rFont val="Aptos Narrow"/>
        <family val="2"/>
        <scheme val="minor"/>
      </rPr>
      <t xml:space="preserve"> =</t>
    </r>
  </si>
  <si>
    <r>
      <t>(63a)</t>
    </r>
    <r>
      <rPr>
        <vertAlign val="subscript"/>
        <sz val="11"/>
        <color theme="1"/>
        <rFont val="Aptos Narrow"/>
        <family val="2"/>
        <scheme val="minor"/>
      </rPr>
      <t>m</t>
    </r>
    <r>
      <rPr>
        <sz val="11"/>
        <color theme="1"/>
        <rFont val="Aptos Narrow"/>
        <family val="2"/>
        <scheme val="minor"/>
      </rPr>
      <t xml:space="preserve"> =</t>
    </r>
  </si>
  <si>
    <r>
      <t>(63b)</t>
    </r>
    <r>
      <rPr>
        <vertAlign val="subscript"/>
        <sz val="11"/>
        <color theme="1"/>
        <rFont val="Aptos Narrow"/>
        <family val="2"/>
        <scheme val="minor"/>
      </rPr>
      <t>m</t>
    </r>
    <r>
      <rPr>
        <sz val="11"/>
        <color theme="1"/>
        <rFont val="Aptos Narrow"/>
        <family val="2"/>
        <scheme val="minor"/>
      </rPr>
      <t xml:space="preserve"> =</t>
    </r>
  </si>
  <si>
    <r>
      <t>(63c)</t>
    </r>
    <r>
      <rPr>
        <vertAlign val="subscript"/>
        <sz val="11"/>
        <color theme="1"/>
        <rFont val="Aptos Narrow"/>
        <family val="2"/>
        <scheme val="minor"/>
      </rPr>
      <t>m</t>
    </r>
    <r>
      <rPr>
        <sz val="11"/>
        <color theme="1"/>
        <rFont val="Aptos Narrow"/>
        <family val="2"/>
        <scheme val="minor"/>
      </rPr>
      <t xml:space="preserve"> =</t>
    </r>
  </si>
  <si>
    <r>
      <t>(63d)</t>
    </r>
    <r>
      <rPr>
        <vertAlign val="subscript"/>
        <sz val="11"/>
        <color theme="1"/>
        <rFont val="Aptos Narrow"/>
        <family val="2"/>
        <scheme val="minor"/>
      </rPr>
      <t>m</t>
    </r>
    <r>
      <rPr>
        <sz val="11"/>
        <color theme="1"/>
        <rFont val="Aptos Narrow"/>
        <family val="2"/>
        <scheme val="minor"/>
      </rPr>
      <t xml:space="preserve"> =</t>
    </r>
  </si>
  <si>
    <r>
      <t>(64a)</t>
    </r>
    <r>
      <rPr>
        <vertAlign val="subscript"/>
        <sz val="11"/>
        <color theme="1"/>
        <rFont val="Aptos Narrow"/>
        <family val="2"/>
        <scheme val="minor"/>
      </rPr>
      <t>m</t>
    </r>
    <r>
      <rPr>
        <sz val="11"/>
        <color theme="1"/>
        <rFont val="Aptos Narrow"/>
        <family val="2"/>
        <scheme val="minor"/>
      </rPr>
      <t xml:space="preserve"> =</t>
    </r>
  </si>
  <si>
    <t>(65)</t>
  </si>
  <si>
    <t>(59)</t>
  </si>
  <si>
    <t>(61)</t>
  </si>
  <si>
    <t>(62)</t>
  </si>
  <si>
    <t>(63a)</t>
  </si>
  <si>
    <t>(63b)</t>
  </si>
  <si>
    <t>(64)</t>
  </si>
  <si>
    <r>
      <t>(59)</t>
    </r>
    <r>
      <rPr>
        <vertAlign val="subscript"/>
        <sz val="11"/>
        <color theme="1"/>
        <rFont val="Aptos Narrow"/>
        <family val="2"/>
        <scheme val="minor"/>
      </rPr>
      <t>m</t>
    </r>
    <r>
      <rPr>
        <sz val="11"/>
        <color theme="1"/>
        <rFont val="Aptos Narrow"/>
        <family val="2"/>
        <scheme val="minor"/>
      </rPr>
      <t xml:space="preserve"> =</t>
    </r>
  </si>
  <si>
    <t>Combi loss for each month from Table 3a, 3b or 3c (enter “0” if not a combi boiler)</t>
  </si>
  <si>
    <t>(63c)</t>
  </si>
  <si>
    <t>(63d)</t>
  </si>
  <si>
    <t>(64a)</t>
  </si>
  <si>
    <r>
      <t xml:space="preserve">Total heat required for water heating calculated for each month         </t>
    </r>
    <r>
      <rPr>
        <sz val="11"/>
        <color rgb="FF0066FF"/>
        <rFont val="Aptos Narrow"/>
        <family val="2"/>
        <scheme val="minor"/>
      </rPr>
      <t>(62)</t>
    </r>
    <r>
      <rPr>
        <vertAlign val="subscript"/>
        <sz val="11"/>
        <color rgb="FF0066FF"/>
        <rFont val="Aptos Narrow"/>
        <family val="2"/>
        <scheme val="minor"/>
      </rPr>
      <t>m</t>
    </r>
    <r>
      <rPr>
        <sz val="11"/>
        <color theme="1"/>
        <rFont val="Aptos Narrow"/>
        <family val="2"/>
        <scheme val="minor"/>
      </rPr>
      <t xml:space="preserve"> = 0.85 × </t>
    </r>
    <r>
      <rPr>
        <sz val="11"/>
        <color rgb="FF0066FF"/>
        <rFont val="Aptos Narrow"/>
        <family val="2"/>
        <scheme val="minor"/>
      </rPr>
      <t>(45)</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(46)</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(59)</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(61)</t>
    </r>
    <r>
      <rPr>
        <vertAlign val="subscript"/>
        <sz val="11"/>
        <color rgb="FF0066FF"/>
        <rFont val="Aptos Narrow"/>
        <family val="2"/>
        <scheme val="minor"/>
      </rPr>
      <t>m</t>
    </r>
  </si>
  <si>
    <r>
      <t xml:space="preserve">Output from water heater for each month, kWh/month         </t>
    </r>
    <r>
      <rPr>
        <sz val="11"/>
        <color rgb="FF0066FF"/>
        <rFont val="Aptos Narrow"/>
        <family val="2"/>
        <scheme val="minor"/>
      </rPr>
      <t>(64)</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(62)</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(63a)</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(63b)</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(63c)</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(63d)</t>
    </r>
    <r>
      <rPr>
        <vertAlign val="subscript"/>
        <sz val="11"/>
        <color rgb="FF0066FF"/>
        <rFont val="Aptos Narrow"/>
        <family val="2"/>
        <scheme val="minor"/>
      </rPr>
      <t>m</t>
    </r>
  </si>
  <si>
    <r>
      <t xml:space="preserve">if </t>
    </r>
    <r>
      <rPr>
        <sz val="11"/>
        <color rgb="FF0066FF"/>
        <rFont val="Aptos Narrow"/>
        <family val="2"/>
        <scheme val="minor"/>
      </rPr>
      <t>(64)</t>
    </r>
    <r>
      <rPr>
        <vertAlign val="subscript"/>
        <sz val="11"/>
        <color rgb="FF0066FF"/>
        <rFont val="Aptos Narrow"/>
        <family val="2"/>
        <scheme val="minor"/>
      </rPr>
      <t>m</t>
    </r>
    <r>
      <rPr>
        <sz val="11"/>
        <color theme="1"/>
        <rFont val="Aptos Narrow"/>
        <family val="2"/>
        <scheme val="minor"/>
      </rPr>
      <t xml:space="preserve"> &lt; 0 then set to 0</t>
    </r>
  </si>
  <si>
    <r>
      <t xml:space="preserve">Total per year (kWh/year) = </t>
    </r>
    <r>
      <rPr>
        <sz val="11"/>
        <color theme="1"/>
        <rFont val="Aptos Narrow"/>
        <family val="2"/>
      </rPr>
      <t>∑</t>
    </r>
    <r>
      <rPr>
        <sz val="11"/>
        <color theme="1"/>
        <rFont val="Aptos Narrow"/>
        <family val="2"/>
        <scheme val="minor"/>
      </rPr>
      <t>(64a)</t>
    </r>
    <r>
      <rPr>
        <vertAlign val="subscript"/>
        <sz val="11"/>
        <color theme="1"/>
        <rFont val="Aptos Narrow"/>
        <family val="2"/>
        <scheme val="minor"/>
      </rPr>
      <t>1…12</t>
    </r>
    <r>
      <rPr>
        <sz val="11"/>
        <color theme="1"/>
        <rFont val="Aptos Narrow"/>
        <family val="2"/>
        <scheme val="minor"/>
      </rPr>
      <t xml:space="preserve"> = </t>
    </r>
  </si>
  <si>
    <r>
      <t xml:space="preserve">Heat gains from water heating, kWh/month        0.25 </t>
    </r>
    <r>
      <rPr>
        <sz val="11"/>
        <color theme="1"/>
        <rFont val="Aptos Narrow"/>
        <family val="2"/>
      </rPr>
      <t>×</t>
    </r>
    <r>
      <rPr>
        <sz val="11"/>
        <color theme="1"/>
        <rFont val="Aptos Narrow"/>
        <family val="2"/>
        <scheme val="minor"/>
      </rPr>
      <t xml:space="preserve"> [0.85 × </t>
    </r>
    <r>
      <rPr>
        <sz val="11"/>
        <color rgb="FF0066FF"/>
        <rFont val="Aptos Narrow"/>
        <family val="2"/>
        <scheme val="minor"/>
      </rPr>
      <t>(45)</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(61)</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(64a)</t>
    </r>
    <r>
      <rPr>
        <vertAlign val="subscript"/>
        <sz val="11"/>
        <color rgb="FF0066FF"/>
        <rFont val="Aptos Narrow"/>
        <family val="2"/>
        <scheme val="minor"/>
      </rPr>
      <t>m</t>
    </r>
    <r>
      <rPr>
        <sz val="11"/>
        <color theme="1"/>
        <rFont val="Aptos Narrow"/>
        <family val="2"/>
        <scheme val="minor"/>
      </rPr>
      <t>] + 0.8 × [</t>
    </r>
    <r>
      <rPr>
        <sz val="11"/>
        <color rgb="FF0066FF"/>
        <rFont val="Aptos Narrow"/>
        <family val="2"/>
        <scheme val="minor"/>
      </rPr>
      <t>(46)</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(59)</t>
    </r>
    <r>
      <rPr>
        <vertAlign val="subscript"/>
        <sz val="11"/>
        <color rgb="FF0066FF"/>
        <rFont val="Aptos Narrow"/>
        <family val="2"/>
        <scheme val="minor"/>
      </rPr>
      <t>m</t>
    </r>
    <r>
      <rPr>
        <sz val="11"/>
        <color theme="1"/>
        <rFont val="Aptos Narrow"/>
        <family val="2"/>
        <scheme val="minor"/>
      </rPr>
      <t xml:space="preserve"> ]</t>
    </r>
  </si>
  <si>
    <r>
      <t xml:space="preserve">Include </t>
    </r>
    <r>
      <rPr>
        <i/>
        <sz val="11"/>
        <color rgb="FF0066FF"/>
        <rFont val="Aptos Narrow"/>
        <family val="2"/>
        <scheme val="minor"/>
      </rPr>
      <t>(57)</t>
    </r>
    <r>
      <rPr>
        <i/>
        <vertAlign val="subscript"/>
        <sz val="11"/>
        <color rgb="FF0066FF"/>
        <rFont val="Aptos Narrow"/>
        <family val="2"/>
        <scheme val="minor"/>
      </rPr>
      <t>m</t>
    </r>
    <r>
      <rPr>
        <i/>
        <sz val="11"/>
        <color theme="1"/>
        <rFont val="Aptos Narrow"/>
        <family val="2"/>
        <scheme val="minor"/>
      </rPr>
      <t xml:space="preserve"> in calculation of </t>
    </r>
    <r>
      <rPr>
        <i/>
        <sz val="11"/>
        <color rgb="FF0066FF"/>
        <rFont val="Aptos Narrow"/>
        <family val="2"/>
        <scheme val="minor"/>
      </rPr>
      <t>(65)</t>
    </r>
    <r>
      <rPr>
        <i/>
        <vertAlign val="subscript"/>
        <sz val="11"/>
        <color rgb="FF0066FF"/>
        <rFont val="Aptos Narrow"/>
        <family val="2"/>
        <scheme val="minor"/>
      </rPr>
      <t>m</t>
    </r>
    <r>
      <rPr>
        <i/>
        <sz val="11"/>
        <color theme="1"/>
        <rFont val="Aptos Narrow"/>
        <family val="2"/>
        <scheme val="minor"/>
      </rPr>
      <t xml:space="preserve"> only if hot water store is in the dwelling or hot water is from heat network</t>
    </r>
  </si>
  <si>
    <t>5. Internal gains (see Tables 5 and 5a)</t>
  </si>
  <si>
    <t>Metabolic gains (Table 5), watts</t>
  </si>
  <si>
    <t>Lighting gains (calculated in Appendix L, equation L12 or L12a), also see Table 5</t>
  </si>
  <si>
    <t>Appliances gains (calculated in Appendix L, equation L16 or L16a), also see Table 5</t>
  </si>
  <si>
    <t>Cooking gains (calculated in Appendix L, equation L18 or L18a), also see Table 5</t>
  </si>
  <si>
    <t>Pumps and fans gains (Table 5a)</t>
  </si>
  <si>
    <t>Losses e.g. evaporation (negative values) (Table 5)</t>
  </si>
  <si>
    <t>Water heating gains (Table 5)</t>
  </si>
  <si>
    <t>(66)</t>
  </si>
  <si>
    <r>
      <t>(67)</t>
    </r>
    <r>
      <rPr>
        <vertAlign val="subscript"/>
        <sz val="11"/>
        <color theme="1"/>
        <rFont val="Aptos Narrow"/>
        <family val="2"/>
        <scheme val="minor"/>
      </rPr>
      <t>m</t>
    </r>
    <r>
      <rPr>
        <sz val="11"/>
        <color theme="1"/>
        <rFont val="Aptos Narrow"/>
        <family val="2"/>
        <scheme val="minor"/>
      </rPr>
      <t xml:space="preserve"> =</t>
    </r>
  </si>
  <si>
    <r>
      <t>(68)</t>
    </r>
    <r>
      <rPr>
        <vertAlign val="subscript"/>
        <sz val="11"/>
        <color theme="1"/>
        <rFont val="Aptos Narrow"/>
        <family val="2"/>
        <scheme val="minor"/>
      </rPr>
      <t>m</t>
    </r>
    <r>
      <rPr>
        <sz val="11"/>
        <color theme="1"/>
        <rFont val="Aptos Narrow"/>
        <family val="2"/>
        <scheme val="minor"/>
      </rPr>
      <t xml:space="preserve"> =</t>
    </r>
  </si>
  <si>
    <r>
      <t>(69)</t>
    </r>
    <r>
      <rPr>
        <vertAlign val="subscript"/>
        <sz val="11"/>
        <color theme="1"/>
        <rFont val="Aptos Narrow"/>
        <family val="2"/>
        <scheme val="minor"/>
      </rPr>
      <t>m</t>
    </r>
    <r>
      <rPr>
        <sz val="11"/>
        <color theme="1"/>
        <rFont val="Aptos Narrow"/>
        <family val="2"/>
        <scheme val="minor"/>
      </rPr>
      <t xml:space="preserve"> =</t>
    </r>
  </si>
  <si>
    <r>
      <t>(70)</t>
    </r>
    <r>
      <rPr>
        <vertAlign val="subscript"/>
        <sz val="11"/>
        <color theme="1"/>
        <rFont val="Aptos Narrow"/>
        <family val="2"/>
        <scheme val="minor"/>
      </rPr>
      <t>m</t>
    </r>
    <r>
      <rPr>
        <sz val="11"/>
        <color theme="1"/>
        <rFont val="Aptos Narrow"/>
        <family val="2"/>
        <scheme val="minor"/>
      </rPr>
      <t xml:space="preserve"> =</t>
    </r>
  </si>
  <si>
    <r>
      <t>(71)</t>
    </r>
    <r>
      <rPr>
        <vertAlign val="subscript"/>
        <sz val="11"/>
        <color theme="1"/>
        <rFont val="Aptos Narrow"/>
        <family val="2"/>
        <scheme val="minor"/>
      </rPr>
      <t>m</t>
    </r>
    <r>
      <rPr>
        <sz val="11"/>
        <color theme="1"/>
        <rFont val="Aptos Narrow"/>
        <family val="2"/>
        <scheme val="minor"/>
      </rPr>
      <t xml:space="preserve"> =</t>
    </r>
  </si>
  <si>
    <r>
      <t>(72)</t>
    </r>
    <r>
      <rPr>
        <vertAlign val="subscript"/>
        <sz val="11"/>
        <color theme="1"/>
        <rFont val="Aptos Narrow"/>
        <family val="2"/>
        <scheme val="minor"/>
      </rPr>
      <t>m</t>
    </r>
    <r>
      <rPr>
        <sz val="11"/>
        <color theme="1"/>
        <rFont val="Aptos Narrow"/>
        <family val="2"/>
        <scheme val="minor"/>
      </rPr>
      <t xml:space="preserve"> =</t>
    </r>
  </si>
  <si>
    <r>
      <t>(73)</t>
    </r>
    <r>
      <rPr>
        <vertAlign val="subscript"/>
        <sz val="11"/>
        <color theme="1"/>
        <rFont val="Aptos Narrow"/>
        <family val="2"/>
        <scheme val="minor"/>
      </rPr>
      <t>m</t>
    </r>
    <r>
      <rPr>
        <sz val="11"/>
        <color theme="1"/>
        <rFont val="Aptos Narrow"/>
        <family val="2"/>
        <scheme val="minor"/>
      </rPr>
      <t xml:space="preserve"> =</t>
    </r>
  </si>
  <si>
    <t>(67)</t>
  </si>
  <si>
    <t>(68)</t>
  </si>
  <si>
    <t>(69)</t>
  </si>
  <si>
    <t>(70)</t>
  </si>
  <si>
    <t>(71)</t>
  </si>
  <si>
    <t>(72)</t>
  </si>
  <si>
    <t>(73)</t>
  </si>
  <si>
    <r>
      <t xml:space="preserve">Total internal gains = </t>
    </r>
    <r>
      <rPr>
        <sz val="11"/>
        <color rgb="FF0066FF"/>
        <rFont val="Aptos Narrow"/>
        <family val="2"/>
        <scheme val="minor"/>
      </rPr>
      <t>(66)</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(68)</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(69)</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(70)</t>
    </r>
    <r>
      <rPr>
        <vertAlign val="subscript"/>
        <sz val="11"/>
        <color rgb="FF0066FF"/>
        <rFont val="Aptos Narrow"/>
        <family val="2"/>
        <scheme val="minor"/>
      </rPr>
      <t>m</t>
    </r>
    <r>
      <rPr>
        <sz val="11"/>
        <color theme="1"/>
        <rFont val="Aptos Narrow"/>
        <family val="2"/>
        <scheme val="minor"/>
      </rPr>
      <t xml:space="preserve"> +</t>
    </r>
    <r>
      <rPr>
        <sz val="11"/>
        <color rgb="FF0066FF"/>
        <rFont val="Aptos Narrow"/>
        <family val="2"/>
        <scheme val="minor"/>
      </rPr>
      <t xml:space="preserve"> (71)</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(72)</t>
    </r>
    <r>
      <rPr>
        <vertAlign val="subscript"/>
        <sz val="11"/>
        <color rgb="FF0066FF"/>
        <rFont val="Aptos Narrow"/>
        <family val="2"/>
        <scheme val="minor"/>
      </rPr>
      <t>m</t>
    </r>
  </si>
  <si>
    <t>6. Solar gains</t>
  </si>
  <si>
    <t>Solar gains are calculated using solar flux from table U3 in Appendix U and associated equations to convert to the</t>
  </si>
  <si>
    <t>than one window type.</t>
  </si>
  <si>
    <r>
      <t xml:space="preserve">applicable orientation. Rows </t>
    </r>
    <r>
      <rPr>
        <i/>
        <sz val="11"/>
        <color rgb="FF0066FF"/>
        <rFont val="Aptos Narrow"/>
        <family val="2"/>
        <scheme val="minor"/>
      </rPr>
      <t>(74)</t>
    </r>
    <r>
      <rPr>
        <i/>
        <sz val="11"/>
        <color theme="1"/>
        <rFont val="Aptos Narrow"/>
        <family val="2"/>
        <scheme val="minor"/>
      </rPr>
      <t xml:space="preserve"> to </t>
    </r>
    <r>
      <rPr>
        <i/>
        <sz val="11"/>
        <color rgb="FF0066FF"/>
        <rFont val="Aptos Narrow"/>
        <family val="2"/>
        <scheme val="minor"/>
      </rPr>
      <t>(82)</t>
    </r>
    <r>
      <rPr>
        <i/>
        <sz val="11"/>
        <color theme="1"/>
        <rFont val="Aptos Narrow"/>
        <family val="2"/>
        <scheme val="minor"/>
      </rPr>
      <t xml:space="preserve"> are used 12 times, one for each month, repeating as needed if there is more</t>
    </r>
  </si>
  <si>
    <t>Access factor</t>
  </si>
  <si>
    <t>Table 6d</t>
  </si>
  <si>
    <t>Area</t>
  </si>
  <si>
    <r>
      <t>m</t>
    </r>
    <r>
      <rPr>
        <vertAlign val="superscript"/>
        <sz val="11"/>
        <color theme="1"/>
        <rFont val="Aptos Narrow"/>
        <family val="2"/>
        <scheme val="minor"/>
      </rPr>
      <t>2</t>
    </r>
  </si>
  <si>
    <r>
      <t>W/m</t>
    </r>
    <r>
      <rPr>
        <vertAlign val="superscript"/>
        <sz val="11"/>
        <color theme="1"/>
        <rFont val="Aptos Narrow"/>
        <family val="2"/>
        <scheme val="minor"/>
      </rPr>
      <t>2</t>
    </r>
  </si>
  <si>
    <t>Solar flux</t>
  </si>
  <si>
    <t>g Specific</t>
  </si>
  <si>
    <t>data or</t>
  </si>
  <si>
    <t>Table 6b</t>
  </si>
  <si>
    <t>FF</t>
  </si>
  <si>
    <t>Specific</t>
  </si>
  <si>
    <t>Table 6c</t>
  </si>
  <si>
    <t>Gains</t>
  </si>
  <si>
    <t>(W)</t>
  </si>
  <si>
    <t>North</t>
  </si>
  <si>
    <t>Northeast</t>
  </si>
  <si>
    <t>East</t>
  </si>
  <si>
    <t>Southeast</t>
  </si>
  <si>
    <t>Southwest</t>
  </si>
  <si>
    <t>West</t>
  </si>
  <si>
    <t>Northwest</t>
  </si>
  <si>
    <t>Roof windows</t>
  </si>
  <si>
    <t>Rooflights</t>
  </si>
  <si>
    <t>× 0.9 ×</t>
  </si>
  <si>
    <t>(74)</t>
  </si>
  <si>
    <t>(75)</t>
  </si>
  <si>
    <t>(76)</t>
  </si>
  <si>
    <t>(77)</t>
  </si>
  <si>
    <t>(78)</t>
  </si>
  <si>
    <t>(79)</t>
  </si>
  <si>
    <t>(80)</t>
  </si>
  <si>
    <t>(81)</t>
  </si>
  <si>
    <t>(82)</t>
  </si>
  <si>
    <t>(83)</t>
  </si>
  <si>
    <t>(84)</t>
  </si>
  <si>
    <t>(85)</t>
  </si>
  <si>
    <t>(82a)</t>
  </si>
  <si>
    <r>
      <t>(83)</t>
    </r>
    <r>
      <rPr>
        <vertAlign val="subscript"/>
        <sz val="11"/>
        <color theme="1"/>
        <rFont val="Aptos Narrow"/>
        <family val="2"/>
        <scheme val="minor"/>
      </rPr>
      <t>m</t>
    </r>
    <r>
      <rPr>
        <sz val="11"/>
        <color theme="1"/>
        <rFont val="Aptos Narrow"/>
        <family val="2"/>
        <scheme val="minor"/>
      </rPr>
      <t xml:space="preserve"> =</t>
    </r>
  </si>
  <si>
    <r>
      <t>(84)</t>
    </r>
    <r>
      <rPr>
        <vertAlign val="subscript"/>
        <sz val="11"/>
        <color theme="1"/>
        <rFont val="Aptos Narrow"/>
        <family val="2"/>
        <scheme val="minor"/>
      </rPr>
      <t>m</t>
    </r>
    <r>
      <rPr>
        <sz val="11"/>
        <color theme="1"/>
        <rFont val="Aptos Narrow"/>
        <family val="2"/>
        <scheme val="minor"/>
      </rPr>
      <t xml:space="preserve"> =</t>
    </r>
  </si>
  <si>
    <r>
      <t>Solar gains in watts, calculated for each month</t>
    </r>
    <r>
      <rPr>
        <sz val="11"/>
        <color rgb="FF0066FF"/>
        <rFont val="Aptos Narrow"/>
        <family val="2"/>
        <scheme val="minor"/>
      </rPr>
      <t xml:space="preserve"> (83)</t>
    </r>
    <r>
      <rPr>
        <vertAlign val="subscript"/>
        <sz val="11"/>
        <color rgb="FF0066FF"/>
        <rFont val="Aptos Narrow"/>
        <family val="2"/>
        <scheme val="minor"/>
      </rPr>
      <t>m</t>
    </r>
    <r>
      <rPr>
        <sz val="11"/>
        <color theme="1"/>
        <rFont val="Aptos Narrow"/>
        <family val="2"/>
        <scheme val="minor"/>
      </rPr>
      <t xml:space="preserve"> = </t>
    </r>
    <r>
      <rPr>
        <sz val="11"/>
        <color theme="1"/>
        <rFont val="Aptos Narrow"/>
        <family val="2"/>
      </rPr>
      <t>∑</t>
    </r>
    <r>
      <rPr>
        <sz val="11"/>
        <color rgb="FF0066FF"/>
        <rFont val="Aptos Narrow"/>
        <family val="2"/>
        <scheme val="minor"/>
      </rPr>
      <t>(74)</t>
    </r>
    <r>
      <rPr>
        <vertAlign val="subscript"/>
        <sz val="11"/>
        <color rgb="FF0066FF"/>
        <rFont val="Aptos Narrow"/>
        <family val="2"/>
        <scheme val="minor"/>
      </rPr>
      <t>m</t>
    </r>
    <r>
      <rPr>
        <sz val="11"/>
        <color theme="1"/>
        <rFont val="Aptos Narrow"/>
        <family val="2"/>
        <scheme val="minor"/>
      </rPr>
      <t xml:space="preserve"> …</t>
    </r>
    <r>
      <rPr>
        <sz val="11"/>
        <color rgb="FF0066FF"/>
        <rFont val="Aptos Narrow"/>
        <family val="2"/>
        <scheme val="minor"/>
      </rPr>
      <t>(82)</t>
    </r>
    <r>
      <rPr>
        <vertAlign val="subscript"/>
        <sz val="11"/>
        <color rgb="FF0066FF"/>
        <rFont val="Aptos Narrow"/>
        <family val="2"/>
        <scheme val="minor"/>
      </rPr>
      <t>m</t>
    </r>
  </si>
  <si>
    <r>
      <rPr>
        <b/>
        <sz val="11"/>
        <color theme="1"/>
        <rFont val="Aptos Narrow"/>
        <family val="2"/>
        <scheme val="minor"/>
      </rPr>
      <t>Total gains – internal and solar</t>
    </r>
    <r>
      <rPr>
        <sz val="11"/>
        <color theme="1"/>
        <rFont val="Aptos Narrow"/>
        <family val="2"/>
        <scheme val="minor"/>
      </rPr>
      <t xml:space="preserve"> </t>
    </r>
    <r>
      <rPr>
        <sz val="11"/>
        <color rgb="FF0066FF"/>
        <rFont val="Aptos Narrow"/>
        <family val="2"/>
        <scheme val="minor"/>
      </rPr>
      <t>(84)</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(73)</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(83)</t>
    </r>
    <r>
      <rPr>
        <vertAlign val="subscript"/>
        <sz val="11"/>
        <color rgb="FF0066FF"/>
        <rFont val="Aptos Narrow"/>
        <family val="2"/>
        <scheme val="minor"/>
      </rPr>
      <t>m</t>
    </r>
    <r>
      <rPr>
        <sz val="11"/>
        <color theme="1"/>
        <rFont val="Aptos Narrow"/>
        <family val="2"/>
        <scheme val="minor"/>
      </rPr>
      <t xml:space="preserve"> , watts</t>
    </r>
  </si>
  <si>
    <t>7. Mean internal temperature (heating season)</t>
  </si>
  <si>
    <t>(follow steps 5 and 6 in Table 9c, if two main heating systems see further notes in Table 9c)</t>
  </si>
  <si>
    <t>Living area fraction</t>
  </si>
  <si>
    <t>Apply adjustment to the mean internal temperature from Table 4e, where appropriate</t>
  </si>
  <si>
    <r>
      <rPr>
        <b/>
        <sz val="11"/>
        <color theme="1"/>
        <rFont val="Aptos Narrow"/>
        <family val="2"/>
        <scheme val="minor"/>
      </rPr>
      <t>Adjusted mean internal temperature</t>
    </r>
    <r>
      <rPr>
        <sz val="11"/>
        <color theme="1"/>
        <rFont val="Aptos Narrow"/>
        <family val="2"/>
        <scheme val="minor"/>
      </rPr>
      <t>:</t>
    </r>
  </si>
  <si>
    <t>(86)</t>
  </si>
  <si>
    <t>(87)</t>
  </si>
  <si>
    <t>(88)</t>
  </si>
  <si>
    <t>(89)</t>
  </si>
  <si>
    <t>(90)</t>
  </si>
  <si>
    <t>(91)</t>
  </si>
  <si>
    <t>(92)</t>
  </si>
  <si>
    <t>(93)</t>
  </si>
  <si>
    <r>
      <t>(86)</t>
    </r>
    <r>
      <rPr>
        <vertAlign val="subscript"/>
        <sz val="11"/>
        <color theme="1"/>
        <rFont val="Aptos Narrow"/>
        <family val="2"/>
        <scheme val="minor"/>
      </rPr>
      <t>m</t>
    </r>
    <r>
      <rPr>
        <sz val="11"/>
        <color theme="1"/>
        <rFont val="Aptos Narrow"/>
        <family val="2"/>
        <scheme val="minor"/>
      </rPr>
      <t xml:space="preserve"> =</t>
    </r>
  </si>
  <si>
    <r>
      <t>(87)</t>
    </r>
    <r>
      <rPr>
        <vertAlign val="subscript"/>
        <sz val="11"/>
        <color theme="1"/>
        <rFont val="Aptos Narrow"/>
        <family val="2"/>
        <scheme val="minor"/>
      </rPr>
      <t>m</t>
    </r>
    <r>
      <rPr>
        <sz val="11"/>
        <color theme="1"/>
        <rFont val="Aptos Narrow"/>
        <family val="2"/>
        <scheme val="minor"/>
      </rPr>
      <t xml:space="preserve"> =</t>
    </r>
  </si>
  <si>
    <r>
      <t>(88)</t>
    </r>
    <r>
      <rPr>
        <vertAlign val="subscript"/>
        <sz val="11"/>
        <color theme="1"/>
        <rFont val="Aptos Narrow"/>
        <family val="2"/>
        <scheme val="minor"/>
      </rPr>
      <t>m</t>
    </r>
    <r>
      <rPr>
        <sz val="11"/>
        <color theme="1"/>
        <rFont val="Aptos Narrow"/>
        <family val="2"/>
        <scheme val="minor"/>
      </rPr>
      <t xml:space="preserve"> =</t>
    </r>
  </si>
  <si>
    <r>
      <t>(89)</t>
    </r>
    <r>
      <rPr>
        <vertAlign val="subscript"/>
        <sz val="11"/>
        <color theme="1"/>
        <rFont val="Aptos Narrow"/>
        <family val="2"/>
        <scheme val="minor"/>
      </rPr>
      <t>m</t>
    </r>
    <r>
      <rPr>
        <sz val="11"/>
        <color theme="1"/>
        <rFont val="Aptos Narrow"/>
        <family val="2"/>
        <scheme val="minor"/>
      </rPr>
      <t xml:space="preserve"> =</t>
    </r>
  </si>
  <si>
    <r>
      <t>(90)</t>
    </r>
    <r>
      <rPr>
        <vertAlign val="subscript"/>
        <sz val="11"/>
        <color theme="1"/>
        <rFont val="Aptos Narrow"/>
        <family val="2"/>
        <scheme val="minor"/>
      </rPr>
      <t>m</t>
    </r>
    <r>
      <rPr>
        <sz val="11"/>
        <color theme="1"/>
        <rFont val="Aptos Narrow"/>
        <family val="2"/>
        <scheme val="minor"/>
      </rPr>
      <t xml:space="preserve"> =</t>
    </r>
  </si>
  <si>
    <r>
      <t>(92)</t>
    </r>
    <r>
      <rPr>
        <vertAlign val="subscript"/>
        <sz val="11"/>
        <color theme="1"/>
        <rFont val="Aptos Narrow"/>
        <family val="2"/>
        <scheme val="minor"/>
      </rPr>
      <t>m</t>
    </r>
    <r>
      <rPr>
        <sz val="11"/>
        <color theme="1"/>
        <rFont val="Aptos Narrow"/>
        <family val="2"/>
        <scheme val="minor"/>
      </rPr>
      <t xml:space="preserve"> =</t>
    </r>
  </si>
  <si>
    <r>
      <t>(93)</t>
    </r>
    <r>
      <rPr>
        <vertAlign val="subscript"/>
        <sz val="11"/>
        <color theme="1"/>
        <rFont val="Aptos Narrow"/>
        <family val="2"/>
        <scheme val="minor"/>
      </rPr>
      <t>m</t>
    </r>
    <r>
      <rPr>
        <sz val="11"/>
        <color theme="1"/>
        <rFont val="Aptos Narrow"/>
        <family val="2"/>
        <scheme val="minor"/>
      </rPr>
      <t xml:space="preserve"> =</t>
    </r>
  </si>
  <si>
    <t xml:space="preserve">fLA = Living area ÷ (4) = </t>
  </si>
  <si>
    <r>
      <t>Temperature during heating periods in the living area from Table 9, T</t>
    </r>
    <r>
      <rPr>
        <vertAlign val="subscript"/>
        <sz val="11"/>
        <color theme="1"/>
        <rFont val="Aptos Narrow"/>
        <family val="2"/>
        <scheme val="minor"/>
      </rPr>
      <t>h1</t>
    </r>
    <r>
      <rPr>
        <sz val="11"/>
        <color theme="1"/>
        <rFont val="Aptos Narrow"/>
        <family val="2"/>
        <scheme val="minor"/>
      </rPr>
      <t xml:space="preserve"> (°C)</t>
    </r>
  </si>
  <si>
    <r>
      <t xml:space="preserve">Utilisation factor for gains for living area, </t>
    </r>
    <r>
      <rPr>
        <sz val="11"/>
        <color theme="1"/>
        <rFont val="Aptos Narrow"/>
        <family val="2"/>
      </rPr>
      <t>η</t>
    </r>
    <r>
      <rPr>
        <vertAlign val="subscript"/>
        <sz val="11"/>
        <color theme="1"/>
        <rFont val="Aptos Narrow"/>
        <family val="2"/>
        <scheme val="minor"/>
      </rPr>
      <t>1,m</t>
    </r>
    <r>
      <rPr>
        <sz val="11"/>
        <color theme="1"/>
        <rFont val="Aptos Narrow"/>
        <family val="2"/>
        <scheme val="minor"/>
      </rPr>
      <t xml:space="preserve"> (see Table 9a)</t>
    </r>
  </si>
  <si>
    <r>
      <t>Mean internal temperature in living area T</t>
    </r>
    <r>
      <rPr>
        <vertAlign val="subscript"/>
        <sz val="11"/>
        <color theme="1"/>
        <rFont val="Aptos Narrow"/>
        <family val="2"/>
        <scheme val="minor"/>
      </rPr>
      <t>1</t>
    </r>
    <r>
      <rPr>
        <sz val="11"/>
        <color theme="1"/>
        <rFont val="Aptos Narrow"/>
        <family val="2"/>
        <scheme val="minor"/>
      </rPr>
      <t xml:space="preserve"> (follow steps 3 and 4 in Table 9c)</t>
    </r>
  </si>
  <si>
    <r>
      <t>Temperature during heating periods in rest of dwelling from Table 9, T</t>
    </r>
    <r>
      <rPr>
        <vertAlign val="subscript"/>
        <sz val="11"/>
        <color theme="1"/>
        <rFont val="Aptos Narrow"/>
        <family val="2"/>
        <scheme val="minor"/>
      </rPr>
      <t>h2</t>
    </r>
    <r>
      <rPr>
        <sz val="11"/>
        <color theme="1"/>
        <rFont val="Aptos Narrow"/>
        <family val="2"/>
        <scheme val="minor"/>
      </rPr>
      <t xml:space="preserve"> (°C)</t>
    </r>
  </si>
  <si>
    <r>
      <t xml:space="preserve">Utilisation factor for gains for rest of dwelling, </t>
    </r>
    <r>
      <rPr>
        <sz val="11"/>
        <color theme="1"/>
        <rFont val="Aptos Narrow"/>
        <family val="2"/>
      </rPr>
      <t>η</t>
    </r>
    <r>
      <rPr>
        <vertAlign val="subscript"/>
        <sz val="11"/>
        <color theme="1"/>
        <rFont val="Aptos Narrow"/>
        <family val="2"/>
        <scheme val="minor"/>
      </rPr>
      <t>2,m</t>
    </r>
    <r>
      <rPr>
        <sz val="11"/>
        <color theme="1"/>
        <rFont val="Aptos Narrow"/>
        <family val="2"/>
        <scheme val="minor"/>
      </rPr>
      <t xml:space="preserve"> (see Table 9a)</t>
    </r>
  </si>
  <si>
    <r>
      <t>Mean internal temperature in the rest of dwelling T</t>
    </r>
    <r>
      <rPr>
        <vertAlign val="subscript"/>
        <sz val="11"/>
        <color theme="1"/>
        <rFont val="Aptos Narrow"/>
        <family val="2"/>
        <scheme val="minor"/>
      </rPr>
      <t>2</t>
    </r>
  </si>
  <si>
    <r>
      <t>Mean internal temperature (for the whole dwelling) = fLA × T</t>
    </r>
    <r>
      <rPr>
        <vertAlign val="subscript"/>
        <sz val="11"/>
        <color theme="1"/>
        <rFont val="Aptos Narrow"/>
        <family val="2"/>
        <scheme val="minor"/>
      </rPr>
      <t>1</t>
    </r>
    <r>
      <rPr>
        <sz val="11"/>
        <color theme="1"/>
        <rFont val="Aptos Narrow"/>
        <family val="2"/>
        <scheme val="minor"/>
      </rPr>
      <t xml:space="preserve"> + (1 – fLA) × T</t>
    </r>
    <r>
      <rPr>
        <vertAlign val="subscript"/>
        <sz val="11"/>
        <color theme="1"/>
        <rFont val="Aptos Narrow"/>
        <family val="2"/>
        <scheme val="minor"/>
      </rPr>
      <t>2</t>
    </r>
  </si>
  <si>
    <t>8. Space heating requirement</t>
  </si>
  <si>
    <t>the utilisation factor for gains using Table 9a</t>
  </si>
  <si>
    <t>Monthly average external temperature from Table U1</t>
  </si>
  <si>
    <t>Solar space heating calculated using Appendix H (negative quantity) (enter “0” if no solar contribution to space heating)</t>
  </si>
  <si>
    <t>Space heating requirement in kWh/m²/year</t>
  </si>
  <si>
    <t>by (1 – Φ case /Φ water ) where Φ case is the heat emission from the case of the range cooker at full load (in kW); and Φ water is the</t>
  </si>
  <si>
    <t>heat transferred to water at full load (in kW). Φ case and Φ water are obtained from the database record for the range cooker</t>
  </si>
  <si>
    <r>
      <t>(94)</t>
    </r>
    <r>
      <rPr>
        <vertAlign val="subscript"/>
        <sz val="11"/>
        <color theme="1"/>
        <rFont val="Aptos Narrow"/>
        <family val="2"/>
        <scheme val="minor"/>
      </rPr>
      <t>m</t>
    </r>
    <r>
      <rPr>
        <sz val="11"/>
        <color theme="1"/>
        <rFont val="Aptos Narrow"/>
        <family val="2"/>
        <scheme val="minor"/>
      </rPr>
      <t xml:space="preserve"> =</t>
    </r>
  </si>
  <si>
    <r>
      <t>(95)</t>
    </r>
    <r>
      <rPr>
        <vertAlign val="subscript"/>
        <sz val="11"/>
        <color theme="1"/>
        <rFont val="Aptos Narrow"/>
        <family val="2"/>
        <scheme val="minor"/>
      </rPr>
      <t>m</t>
    </r>
    <r>
      <rPr>
        <sz val="11"/>
        <color theme="1"/>
        <rFont val="Aptos Narrow"/>
        <family val="2"/>
        <scheme val="minor"/>
      </rPr>
      <t xml:space="preserve"> =</t>
    </r>
  </si>
  <si>
    <r>
      <t>(96)</t>
    </r>
    <r>
      <rPr>
        <vertAlign val="subscript"/>
        <sz val="11"/>
        <color theme="1"/>
        <rFont val="Aptos Narrow"/>
        <family val="2"/>
        <scheme val="minor"/>
      </rPr>
      <t>m</t>
    </r>
    <r>
      <rPr>
        <sz val="11"/>
        <color theme="1"/>
        <rFont val="Aptos Narrow"/>
        <family val="2"/>
        <scheme val="minor"/>
      </rPr>
      <t xml:space="preserve"> =</t>
    </r>
  </si>
  <si>
    <r>
      <t>(97)</t>
    </r>
    <r>
      <rPr>
        <vertAlign val="subscript"/>
        <sz val="11"/>
        <color theme="1"/>
        <rFont val="Aptos Narrow"/>
        <family val="2"/>
        <scheme val="minor"/>
      </rPr>
      <t>m</t>
    </r>
    <r>
      <rPr>
        <sz val="11"/>
        <color theme="1"/>
        <rFont val="Aptos Narrow"/>
        <family val="2"/>
        <scheme val="minor"/>
      </rPr>
      <t xml:space="preserve"> =</t>
    </r>
  </si>
  <si>
    <r>
      <t>(98b)</t>
    </r>
    <r>
      <rPr>
        <vertAlign val="subscript"/>
        <sz val="11"/>
        <color theme="1"/>
        <rFont val="Aptos Narrow"/>
        <family val="2"/>
        <scheme val="minor"/>
      </rPr>
      <t>m</t>
    </r>
    <r>
      <rPr>
        <sz val="11"/>
        <color theme="1"/>
        <rFont val="Aptos Narrow"/>
        <family val="2"/>
        <scheme val="minor"/>
      </rPr>
      <t xml:space="preserve"> =</t>
    </r>
  </si>
  <si>
    <r>
      <t>(98a)</t>
    </r>
    <r>
      <rPr>
        <vertAlign val="subscript"/>
        <sz val="11"/>
        <color theme="1"/>
        <rFont val="Aptos Narrow"/>
        <family val="2"/>
        <scheme val="minor"/>
      </rPr>
      <t>m</t>
    </r>
    <r>
      <rPr>
        <sz val="11"/>
        <color theme="1"/>
        <rFont val="Aptos Narrow"/>
        <family val="2"/>
        <scheme val="minor"/>
      </rPr>
      <t xml:space="preserve"> =</t>
    </r>
  </si>
  <si>
    <r>
      <t>(98c)</t>
    </r>
    <r>
      <rPr>
        <vertAlign val="subscript"/>
        <sz val="11"/>
        <color theme="1"/>
        <rFont val="Aptos Narrow"/>
        <family val="2"/>
        <scheme val="minor"/>
      </rPr>
      <t>m</t>
    </r>
    <r>
      <rPr>
        <sz val="11"/>
        <color theme="1"/>
        <rFont val="Aptos Narrow"/>
        <family val="2"/>
        <scheme val="minor"/>
      </rPr>
      <t xml:space="preserve"> =</t>
    </r>
  </si>
  <si>
    <t>(94)</t>
  </si>
  <si>
    <t>(95)</t>
  </si>
  <si>
    <t>(96)</t>
  </si>
  <si>
    <t>(97)</t>
  </si>
  <si>
    <t>(98a)</t>
  </si>
  <si>
    <t>(98b)</t>
  </si>
  <si>
    <t>(98c)</t>
  </si>
  <si>
    <t>(99)</t>
  </si>
  <si>
    <r>
      <t>Set T</t>
    </r>
    <r>
      <rPr>
        <vertAlign val="subscript"/>
        <sz val="11"/>
        <color theme="1"/>
        <rFont val="Aptos Narrow"/>
        <family val="2"/>
        <scheme val="minor"/>
      </rPr>
      <t>i</t>
    </r>
    <r>
      <rPr>
        <sz val="11"/>
        <color theme="1"/>
        <rFont val="Aptos Narrow"/>
        <family val="2"/>
        <scheme val="minor"/>
      </rPr>
      <t xml:space="preserve"> to the mean internal temperature obtained at step 11 of Table 9b, so that T</t>
    </r>
    <r>
      <rPr>
        <vertAlign val="subscript"/>
        <sz val="11"/>
        <color theme="1"/>
        <rFont val="Aptos Narrow"/>
        <family val="2"/>
        <scheme val="minor"/>
      </rPr>
      <t>i,m</t>
    </r>
    <r>
      <rPr>
        <sz val="11"/>
        <color theme="1"/>
        <rFont val="Aptos Narrow"/>
        <family val="2"/>
        <scheme val="minor"/>
      </rPr>
      <t>=</t>
    </r>
    <r>
      <rPr>
        <sz val="11"/>
        <color rgb="FF0066FF"/>
        <rFont val="Aptos Narrow"/>
        <family val="2"/>
        <scheme val="minor"/>
      </rPr>
      <t>(93)</t>
    </r>
    <r>
      <rPr>
        <vertAlign val="subscript"/>
        <sz val="11"/>
        <color rgb="FF0066FF"/>
        <rFont val="Aptos Narrow"/>
        <family val="2"/>
        <scheme val="minor"/>
      </rPr>
      <t>m</t>
    </r>
    <r>
      <rPr>
        <sz val="11"/>
        <color theme="1"/>
        <rFont val="Aptos Narrow"/>
        <family val="2"/>
        <scheme val="minor"/>
      </rPr>
      <t xml:space="preserve"> and re-calculate</t>
    </r>
  </si>
  <si>
    <r>
      <t xml:space="preserve">Utilisation factor for gains, </t>
    </r>
    <r>
      <rPr>
        <sz val="11"/>
        <color theme="1"/>
        <rFont val="Aptos Narrow"/>
        <family val="2"/>
      </rPr>
      <t>η</t>
    </r>
    <r>
      <rPr>
        <vertAlign val="subscript"/>
        <sz val="11"/>
        <color theme="1"/>
        <rFont val="Aptos Narrow"/>
        <family val="2"/>
        <scheme val="minor"/>
      </rPr>
      <t>m</t>
    </r>
    <r>
      <rPr>
        <sz val="11"/>
        <color theme="1"/>
        <rFont val="Aptos Narrow"/>
        <family val="2"/>
        <scheme val="minor"/>
      </rPr>
      <t>:</t>
    </r>
  </si>
  <si>
    <r>
      <t xml:space="preserve">Useful gains, </t>
    </r>
    <r>
      <rPr>
        <sz val="11"/>
        <color theme="1"/>
        <rFont val="Aptos Narrow"/>
        <family val="2"/>
      </rPr>
      <t>η</t>
    </r>
    <r>
      <rPr>
        <vertAlign val="subscript"/>
        <sz val="11"/>
        <color theme="1"/>
        <rFont val="Aptos Narrow"/>
        <family val="2"/>
        <scheme val="minor"/>
      </rPr>
      <t>mGm</t>
    </r>
    <r>
      <rPr>
        <sz val="11"/>
        <color theme="1"/>
        <rFont val="Aptos Narrow"/>
        <family val="2"/>
        <scheme val="minor"/>
      </rPr>
      <t xml:space="preserve"> , W         = </t>
    </r>
    <r>
      <rPr>
        <sz val="11"/>
        <color rgb="FF0066FF"/>
        <rFont val="Aptos Narrow"/>
        <family val="2"/>
        <scheme val="minor"/>
      </rPr>
      <t>(94)</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(84)</t>
    </r>
    <r>
      <rPr>
        <vertAlign val="subscript"/>
        <sz val="11"/>
        <color rgb="FF0066FF"/>
        <rFont val="Aptos Narrow"/>
        <family val="2"/>
        <scheme val="minor"/>
      </rPr>
      <t>m</t>
    </r>
  </si>
  <si>
    <r>
      <t xml:space="preserve">Heat loss rate for mean internal temperature, Lm , W         = </t>
    </r>
    <r>
      <rPr>
        <sz val="11"/>
        <color rgb="FF0066FF"/>
        <rFont val="Aptos Narrow"/>
        <family val="2"/>
        <scheme val="minor"/>
      </rPr>
      <t>(39)</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(93)</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(96)</t>
    </r>
    <r>
      <rPr>
        <vertAlign val="subscript"/>
        <sz val="11"/>
        <color rgb="FF0066FF"/>
        <rFont val="Aptos Narrow"/>
        <family val="2"/>
        <scheme val="minor"/>
      </rPr>
      <t>m</t>
    </r>
    <r>
      <rPr>
        <sz val="11"/>
        <color theme="1"/>
        <rFont val="Aptos Narrow"/>
        <family val="2"/>
        <scheme val="minor"/>
      </rPr>
      <t xml:space="preserve"> ]</t>
    </r>
  </si>
  <si>
    <r>
      <t xml:space="preserve">Space heating requirement for each month, kWh/month = 0.024 </t>
    </r>
    <r>
      <rPr>
        <sz val="11"/>
        <color theme="1"/>
        <rFont val="Aptos Narrow"/>
        <family val="2"/>
      </rPr>
      <t>×</t>
    </r>
    <r>
      <rPr>
        <sz val="11"/>
        <color theme="1"/>
        <rFont val="Aptos Narrow"/>
        <family val="2"/>
        <scheme val="minor"/>
      </rPr>
      <t xml:space="preserve"> [</t>
    </r>
    <r>
      <rPr>
        <sz val="11"/>
        <color rgb="FF0066FF"/>
        <rFont val="Aptos Narrow"/>
        <family val="2"/>
        <scheme val="minor"/>
      </rPr>
      <t>(97)</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(95)</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(41)</t>
    </r>
    <r>
      <rPr>
        <vertAlign val="subscript"/>
        <sz val="11"/>
        <color rgb="FF0066FF"/>
        <rFont val="Aptos Narrow"/>
        <family val="2"/>
        <scheme val="minor"/>
      </rPr>
      <t>m</t>
    </r>
  </si>
  <si>
    <r>
      <t xml:space="preserve">Space heating requirement for each month after solar contribution, kWh/month </t>
    </r>
    <r>
      <rPr>
        <sz val="11"/>
        <color rgb="FF0066FF"/>
        <rFont val="Aptos Narrow"/>
        <family val="2"/>
        <scheme val="minor"/>
      </rPr>
      <t>(98c)</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(98a)</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(98b)</t>
    </r>
    <r>
      <rPr>
        <vertAlign val="subscript"/>
        <sz val="11"/>
        <color rgb="FF0066FF"/>
        <rFont val="Aptos Narrow"/>
        <family val="2"/>
        <scheme val="minor"/>
      </rPr>
      <t>m</t>
    </r>
  </si>
  <si>
    <r>
      <t xml:space="preserve">For range cooker boilers where efficiency is obtained from the Product Characteristics Database, multiply the results in </t>
    </r>
    <r>
      <rPr>
        <i/>
        <sz val="11"/>
        <color rgb="FF0066FF"/>
        <rFont val="Aptos Narrow"/>
        <family val="2"/>
        <scheme val="minor"/>
      </rPr>
      <t>(98c)</t>
    </r>
    <r>
      <rPr>
        <i/>
        <sz val="11"/>
        <color theme="1"/>
        <rFont val="Aptos Narrow"/>
        <family val="2"/>
        <scheme val="minor"/>
      </rPr>
      <t xml:space="preserve"> m</t>
    </r>
  </si>
  <si>
    <r>
      <rPr>
        <sz val="11"/>
        <color rgb="FF0066FF"/>
        <rFont val="Aptos Narrow"/>
        <family val="2"/>
        <scheme val="minor"/>
      </rPr>
      <t>(98c)</t>
    </r>
    <r>
      <rPr>
        <sz val="11"/>
        <color theme="1"/>
        <rFont val="Aptos Narrow"/>
        <family val="2"/>
        <scheme val="minor"/>
      </rPr>
      <t xml:space="preserve"> ÷ </t>
    </r>
    <r>
      <rPr>
        <sz val="11"/>
        <color rgb="FF0066FF"/>
        <rFont val="Aptos Narrow"/>
        <family val="2"/>
        <scheme val="minor"/>
      </rPr>
      <t>(4)</t>
    </r>
    <r>
      <rPr>
        <sz val="11"/>
        <color theme="1"/>
        <rFont val="Aptos Narrow"/>
        <family val="2"/>
        <scheme val="minor"/>
      </rPr>
      <t xml:space="preserve"> = </t>
    </r>
  </si>
  <si>
    <r>
      <t xml:space="preserve">Total per year (kWh/year) = </t>
    </r>
    <r>
      <rPr>
        <sz val="11"/>
        <color theme="1"/>
        <rFont val="Aptos Narrow"/>
        <family val="2"/>
      </rPr>
      <t>∑</t>
    </r>
    <r>
      <rPr>
        <sz val="11"/>
        <color theme="1"/>
        <rFont val="Aptos Narrow"/>
        <family val="2"/>
        <scheme val="minor"/>
      </rPr>
      <t>(98a)</t>
    </r>
    <r>
      <rPr>
        <vertAlign val="subscript"/>
        <sz val="11"/>
        <color theme="1"/>
        <rFont val="Aptos Narrow"/>
        <family val="2"/>
        <scheme val="minor"/>
      </rPr>
      <t>1…5,10..12</t>
    </r>
    <r>
      <rPr>
        <sz val="11"/>
        <color theme="1"/>
        <rFont val="Aptos Narrow"/>
        <family val="2"/>
        <scheme val="minor"/>
      </rPr>
      <t xml:space="preserve"> = </t>
    </r>
  </si>
  <si>
    <r>
      <t xml:space="preserve">Total per year (kWh/year) = </t>
    </r>
    <r>
      <rPr>
        <sz val="11"/>
        <color theme="1"/>
        <rFont val="Aptos Narrow"/>
        <family val="2"/>
      </rPr>
      <t>∑</t>
    </r>
    <r>
      <rPr>
        <sz val="11"/>
        <color theme="1"/>
        <rFont val="Aptos Narrow"/>
        <family val="2"/>
        <scheme val="minor"/>
      </rPr>
      <t>(98b)</t>
    </r>
    <r>
      <rPr>
        <vertAlign val="subscript"/>
        <sz val="11"/>
        <color theme="1"/>
        <rFont val="Aptos Narrow"/>
        <family val="2"/>
        <scheme val="minor"/>
      </rPr>
      <t>1…5,10..12</t>
    </r>
    <r>
      <rPr>
        <sz val="11"/>
        <color theme="1"/>
        <rFont val="Aptos Narrow"/>
        <family val="2"/>
        <scheme val="minor"/>
      </rPr>
      <t xml:space="preserve"> =</t>
    </r>
  </si>
  <si>
    <r>
      <t xml:space="preserve">Total per year (kWh/year) = </t>
    </r>
    <r>
      <rPr>
        <sz val="11"/>
        <color theme="1"/>
        <rFont val="Aptos Narrow"/>
        <family val="2"/>
      </rPr>
      <t>∑</t>
    </r>
    <r>
      <rPr>
        <sz val="11"/>
        <color theme="1"/>
        <rFont val="Aptos Narrow"/>
        <family val="2"/>
        <scheme val="minor"/>
      </rPr>
      <t>(98c)</t>
    </r>
    <r>
      <rPr>
        <vertAlign val="subscript"/>
        <sz val="11"/>
        <color theme="1"/>
        <rFont val="Aptos Narrow"/>
        <family val="2"/>
        <scheme val="minor"/>
      </rPr>
      <t>1…5,10..12</t>
    </r>
    <r>
      <rPr>
        <sz val="11"/>
        <color theme="1"/>
        <rFont val="Aptos Narrow"/>
        <family val="2"/>
        <scheme val="minor"/>
      </rPr>
      <t xml:space="preserve"> =</t>
    </r>
  </si>
  <si>
    <t>8c. Space cooling requirement</t>
  </si>
  <si>
    <t>Gains (internal gains as for heating except that column (A) of Table 5 is always used; solar gains</t>
  </si>
  <si>
    <t>calculated for the applicable climate, see Appendix U)</t>
  </si>
  <si>
    <t>(100)</t>
  </si>
  <si>
    <r>
      <t>(100)</t>
    </r>
    <r>
      <rPr>
        <vertAlign val="subscript"/>
        <sz val="11"/>
        <color theme="1"/>
        <rFont val="Aptos Narrow"/>
        <family val="2"/>
        <scheme val="minor"/>
      </rPr>
      <t>m</t>
    </r>
    <r>
      <rPr>
        <sz val="11"/>
        <color theme="1"/>
        <rFont val="Aptos Narrow"/>
        <family val="2"/>
        <scheme val="minor"/>
      </rPr>
      <t xml:space="preserve"> =</t>
    </r>
  </si>
  <si>
    <t>fC = cooled area ÷ (4) =</t>
  </si>
  <si>
    <t>Cooled fraction</t>
  </si>
  <si>
    <t>Intermittency factor (Table 10b)</t>
  </si>
  <si>
    <t>Space cooling requirement in kWh/m²/year</t>
  </si>
  <si>
    <t>(101)</t>
  </si>
  <si>
    <t>(102)</t>
  </si>
  <si>
    <t>(103)</t>
  </si>
  <si>
    <t>(104)</t>
  </si>
  <si>
    <t>(105)</t>
  </si>
  <si>
    <t>(106)</t>
  </si>
  <si>
    <t>(107)</t>
  </si>
  <si>
    <t>(108)</t>
  </si>
  <si>
    <r>
      <t>(101)</t>
    </r>
    <r>
      <rPr>
        <vertAlign val="subscript"/>
        <sz val="11"/>
        <color theme="1"/>
        <rFont val="Aptos Narrow"/>
        <family val="2"/>
        <scheme val="minor"/>
      </rPr>
      <t>m</t>
    </r>
    <r>
      <rPr>
        <sz val="11"/>
        <color theme="1"/>
        <rFont val="Aptos Narrow"/>
        <family val="2"/>
        <scheme val="minor"/>
      </rPr>
      <t xml:space="preserve"> =</t>
    </r>
  </si>
  <si>
    <r>
      <t>(102)</t>
    </r>
    <r>
      <rPr>
        <vertAlign val="subscript"/>
        <sz val="11"/>
        <color theme="1"/>
        <rFont val="Aptos Narrow"/>
        <family val="2"/>
        <scheme val="minor"/>
      </rPr>
      <t>m</t>
    </r>
    <r>
      <rPr>
        <sz val="11"/>
        <color theme="1"/>
        <rFont val="Aptos Narrow"/>
        <family val="2"/>
        <scheme val="minor"/>
      </rPr>
      <t xml:space="preserve"> =</t>
    </r>
  </si>
  <si>
    <r>
      <t>(103)</t>
    </r>
    <r>
      <rPr>
        <vertAlign val="subscript"/>
        <sz val="11"/>
        <color theme="1"/>
        <rFont val="Aptos Narrow"/>
        <family val="2"/>
        <scheme val="minor"/>
      </rPr>
      <t>m</t>
    </r>
    <r>
      <rPr>
        <sz val="11"/>
        <color theme="1"/>
        <rFont val="Aptos Narrow"/>
        <family val="2"/>
        <scheme val="minor"/>
      </rPr>
      <t xml:space="preserve"> =</t>
    </r>
  </si>
  <si>
    <r>
      <t>(104)</t>
    </r>
    <r>
      <rPr>
        <vertAlign val="subscript"/>
        <sz val="11"/>
        <color theme="1"/>
        <rFont val="Aptos Narrow"/>
        <family val="2"/>
        <scheme val="minor"/>
      </rPr>
      <t>m</t>
    </r>
    <r>
      <rPr>
        <sz val="11"/>
        <color theme="1"/>
        <rFont val="Aptos Narrow"/>
        <family val="2"/>
        <scheme val="minor"/>
      </rPr>
      <t xml:space="preserve"> =</t>
    </r>
  </si>
  <si>
    <r>
      <t>(106)</t>
    </r>
    <r>
      <rPr>
        <vertAlign val="subscript"/>
        <sz val="11"/>
        <color theme="1"/>
        <rFont val="Aptos Narrow"/>
        <family val="2"/>
        <scheme val="minor"/>
      </rPr>
      <t>m</t>
    </r>
    <r>
      <rPr>
        <sz val="11"/>
        <color theme="1"/>
        <rFont val="Aptos Narrow"/>
        <family val="2"/>
        <scheme val="minor"/>
      </rPr>
      <t xml:space="preserve"> =</t>
    </r>
  </si>
  <si>
    <r>
      <t>(107)</t>
    </r>
    <r>
      <rPr>
        <vertAlign val="subscript"/>
        <sz val="11"/>
        <color theme="1"/>
        <rFont val="Aptos Narrow"/>
        <family val="2"/>
        <scheme val="minor"/>
      </rPr>
      <t>m</t>
    </r>
    <r>
      <rPr>
        <sz val="11"/>
        <color theme="1"/>
        <rFont val="Aptos Narrow"/>
        <family val="2"/>
        <scheme val="minor"/>
      </rPr>
      <t xml:space="preserve"> =</t>
    </r>
  </si>
  <si>
    <r>
      <t>Heat loss rate L</t>
    </r>
    <r>
      <rPr>
        <vertAlign val="subscript"/>
        <sz val="11"/>
        <color theme="1"/>
        <rFont val="Aptos Narrow"/>
        <family val="2"/>
        <scheme val="minor"/>
      </rPr>
      <t>m</t>
    </r>
    <r>
      <rPr>
        <sz val="11"/>
        <color theme="1"/>
        <rFont val="Aptos Narrow"/>
        <family val="2"/>
        <scheme val="minor"/>
      </rPr>
      <t xml:space="preserve"> (calculated using 24°C internal temp and external temp for the applicable climate (see Appendix U)</t>
    </r>
  </si>
  <si>
    <r>
      <t xml:space="preserve">Utilisation factor for loss </t>
    </r>
    <r>
      <rPr>
        <sz val="11"/>
        <color theme="1"/>
        <rFont val="Aptos Narrow"/>
        <family val="2"/>
      </rPr>
      <t>η</t>
    </r>
    <r>
      <rPr>
        <vertAlign val="subscript"/>
        <sz val="11"/>
        <color theme="1"/>
        <rFont val="Aptos Narrow"/>
        <family val="2"/>
        <scheme val="minor"/>
      </rPr>
      <t>m</t>
    </r>
  </si>
  <si>
    <r>
      <t xml:space="preserve">Useful loss, </t>
    </r>
    <r>
      <rPr>
        <sz val="11"/>
        <color theme="1"/>
        <rFont val="Aptos Narrow"/>
        <family val="2"/>
      </rPr>
      <t>η</t>
    </r>
    <r>
      <rPr>
        <vertAlign val="subscript"/>
        <sz val="11"/>
        <color theme="1"/>
        <rFont val="Aptos Narrow"/>
        <family val="2"/>
        <scheme val="minor"/>
      </rPr>
      <t>mLm</t>
    </r>
    <r>
      <rPr>
        <sz val="11"/>
        <color theme="1"/>
        <rFont val="Aptos Narrow"/>
        <family val="2"/>
        <scheme val="minor"/>
      </rPr>
      <t xml:space="preserve"> (watts) = </t>
    </r>
    <r>
      <rPr>
        <sz val="11"/>
        <color rgb="FF0066FF"/>
        <rFont val="Aptos Narrow"/>
        <family val="2"/>
        <scheme val="minor"/>
      </rPr>
      <t>(100)</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(101)</t>
    </r>
    <r>
      <rPr>
        <vertAlign val="subscript"/>
        <sz val="11"/>
        <color rgb="FF0066FF"/>
        <rFont val="Aptos Narrow"/>
        <family val="2"/>
        <scheme val="minor"/>
      </rPr>
      <t>m</t>
    </r>
  </si>
  <si>
    <r>
      <t xml:space="preserve">Space cooling requirement for month, whole dwelling, continuous ( kWh) = 0.024 </t>
    </r>
    <r>
      <rPr>
        <sz val="11"/>
        <color theme="1"/>
        <rFont val="Aptos Narrow"/>
        <family val="2"/>
      </rPr>
      <t>×</t>
    </r>
    <r>
      <rPr>
        <sz val="11"/>
        <color theme="1"/>
        <rFont val="Aptos Narrow"/>
        <family val="2"/>
        <scheme val="minor"/>
      </rPr>
      <t xml:space="preserve"> [</t>
    </r>
    <r>
      <rPr>
        <sz val="11"/>
        <color rgb="FF0066FF"/>
        <rFont val="Aptos Narrow"/>
        <family val="2"/>
        <scheme val="minor"/>
      </rPr>
      <t>(103)</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(102)</t>
    </r>
    <r>
      <rPr>
        <vertAlign val="subscript"/>
        <sz val="11"/>
        <color rgb="FF0066FF"/>
        <rFont val="Aptos Narrow"/>
        <family val="2"/>
        <scheme val="minor"/>
      </rPr>
      <t>m</t>
    </r>
    <r>
      <rPr>
        <sz val="11"/>
        <color theme="1"/>
        <rFont val="Aptos Narrow"/>
        <family val="2"/>
        <scheme val="minor"/>
      </rPr>
      <t xml:space="preserve"> ] × </t>
    </r>
    <r>
      <rPr>
        <sz val="11"/>
        <color rgb="FF0066FF"/>
        <rFont val="Aptos Narrow"/>
        <family val="2"/>
        <scheme val="minor"/>
      </rPr>
      <t>(41)</t>
    </r>
    <r>
      <rPr>
        <vertAlign val="subscript"/>
        <sz val="11"/>
        <color rgb="FF0066FF"/>
        <rFont val="Aptos Narrow"/>
        <family val="2"/>
        <scheme val="minor"/>
      </rPr>
      <t>m</t>
    </r>
  </si>
  <si>
    <r>
      <t xml:space="preserve">Total = </t>
    </r>
    <r>
      <rPr>
        <sz val="11"/>
        <color theme="1"/>
        <rFont val="Aptos Narrow"/>
        <family val="2"/>
      </rPr>
      <t>∑</t>
    </r>
    <r>
      <rPr>
        <sz val="11"/>
        <color theme="1"/>
        <rFont val="Aptos Narrow"/>
        <family val="2"/>
        <scheme val="minor"/>
      </rPr>
      <t>(104)</t>
    </r>
    <r>
      <rPr>
        <vertAlign val="subscript"/>
        <sz val="11"/>
        <color theme="1"/>
        <rFont val="Aptos Narrow"/>
        <family val="2"/>
        <scheme val="minor"/>
      </rPr>
      <t>6..8</t>
    </r>
    <r>
      <rPr>
        <sz val="11"/>
        <color theme="1"/>
        <rFont val="Aptos Narrow"/>
        <family val="2"/>
        <scheme val="minor"/>
      </rPr>
      <t xml:space="preserve"> = </t>
    </r>
  </si>
  <si>
    <r>
      <t>Total =</t>
    </r>
    <r>
      <rPr>
        <sz val="11"/>
        <color theme="1"/>
        <rFont val="Aptos Narrow"/>
        <family val="2"/>
      </rPr>
      <t>∑</t>
    </r>
    <r>
      <rPr>
        <sz val="11"/>
        <color theme="1"/>
        <rFont val="Aptos Narrow"/>
        <family val="2"/>
        <scheme val="minor"/>
      </rPr>
      <t>(106)</t>
    </r>
    <r>
      <rPr>
        <vertAlign val="subscript"/>
        <sz val="11"/>
        <color theme="1"/>
        <rFont val="Aptos Narrow"/>
        <family val="2"/>
        <scheme val="minor"/>
      </rPr>
      <t>6..8</t>
    </r>
    <r>
      <rPr>
        <sz val="11"/>
        <color theme="1"/>
        <rFont val="Aptos Narrow"/>
        <family val="2"/>
        <scheme val="minor"/>
      </rPr>
      <t xml:space="preserve"> = </t>
    </r>
  </si>
  <si>
    <r>
      <t xml:space="preserve">Total = </t>
    </r>
    <r>
      <rPr>
        <sz val="11"/>
        <color theme="1"/>
        <rFont val="Aptos Narrow"/>
        <family val="2"/>
      </rPr>
      <t>∑</t>
    </r>
    <r>
      <rPr>
        <sz val="11"/>
        <color theme="1"/>
        <rFont val="Aptos Narrow"/>
        <family val="2"/>
        <scheme val="minor"/>
      </rPr>
      <t>(107)</t>
    </r>
    <r>
      <rPr>
        <vertAlign val="subscript"/>
        <sz val="11"/>
        <color theme="1"/>
        <rFont val="Aptos Narrow"/>
        <family val="2"/>
        <scheme val="minor"/>
      </rPr>
      <t>6..8</t>
    </r>
    <r>
      <rPr>
        <sz val="11"/>
        <color theme="1"/>
        <rFont val="Aptos Narrow"/>
        <family val="2"/>
        <scheme val="minor"/>
      </rPr>
      <t xml:space="preserve"> = </t>
    </r>
  </si>
  <si>
    <r>
      <t xml:space="preserve">Space cooling requirement for month = </t>
    </r>
    <r>
      <rPr>
        <sz val="11"/>
        <color rgb="FF0066FF"/>
        <rFont val="Aptos Narrow"/>
        <family val="2"/>
        <scheme val="minor"/>
      </rPr>
      <t>(104)</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(105)</t>
    </r>
    <r>
      <rPr>
        <sz val="11"/>
        <color theme="1"/>
        <rFont val="Aptos Narrow"/>
        <family val="2"/>
        <scheme val="minor"/>
      </rPr>
      <t xml:space="preserve"> × </t>
    </r>
    <r>
      <rPr>
        <sz val="11"/>
        <color rgb="FF0066FF"/>
        <rFont val="Aptos Narrow"/>
        <family val="2"/>
        <scheme val="minor"/>
      </rPr>
      <t>(106)</t>
    </r>
    <r>
      <rPr>
        <vertAlign val="subscript"/>
        <sz val="11"/>
        <color rgb="FF0066FF"/>
        <rFont val="Aptos Narrow"/>
        <family val="2"/>
        <scheme val="minor"/>
      </rPr>
      <t>m</t>
    </r>
  </si>
  <si>
    <t>Fabric Energy Efficiency</t>
  </si>
  <si>
    <r>
      <t xml:space="preserve">8f. Fabric Energy Efficiency </t>
    </r>
    <r>
      <rPr>
        <sz val="14"/>
        <color theme="1"/>
        <rFont val="Aptos Narrow"/>
        <family val="2"/>
        <scheme val="minor"/>
      </rPr>
      <t>(calculated only under special conditions, see section 11)</t>
    </r>
  </si>
  <si>
    <r>
      <rPr>
        <sz val="11"/>
        <color rgb="FF0066FF"/>
        <rFont val="Aptos Narrow"/>
        <family val="2"/>
        <scheme val="minor"/>
      </rPr>
      <t>(98a)</t>
    </r>
    <r>
      <rPr>
        <sz val="11"/>
        <color theme="1"/>
        <rFont val="Aptos Narrow"/>
        <family val="2"/>
        <scheme val="minor"/>
      </rPr>
      <t xml:space="preserve"> ÷ </t>
    </r>
    <r>
      <rPr>
        <sz val="11"/>
        <color rgb="FF0066FF"/>
        <rFont val="Aptos Narrow"/>
        <family val="2"/>
        <scheme val="minor"/>
      </rPr>
      <t>(4)</t>
    </r>
    <r>
      <rPr>
        <sz val="11"/>
        <color theme="1"/>
        <rFont val="Aptos Narrow"/>
        <family val="2"/>
        <scheme val="minor"/>
      </rPr>
      <t xml:space="preserve"> + </t>
    </r>
    <r>
      <rPr>
        <sz val="11"/>
        <color rgb="FF0066FF"/>
        <rFont val="Aptos Narrow"/>
        <family val="2"/>
        <scheme val="minor"/>
      </rPr>
      <t>(108)</t>
    </r>
    <r>
      <rPr>
        <sz val="11"/>
        <color theme="1"/>
        <rFont val="Aptos Narrow"/>
        <family val="2"/>
        <scheme val="minor"/>
      </rPr>
      <t xml:space="preserve"> =</t>
    </r>
  </si>
  <si>
    <t>9a. Energy requirements – Individual heating systems including micro-CHP</t>
  </si>
  <si>
    <t>Space heating:</t>
  </si>
  <si>
    <t>Fraction of space heat from main system(s)</t>
  </si>
  <si>
    <t>Fraction of total space heat from main system 1</t>
  </si>
  <si>
    <t>Fraction of total space heat from main system 2</t>
  </si>
  <si>
    <t>Efficiency of main space heating system 1 (in %)</t>
  </si>
  <si>
    <t>(from database or Table 4a/4b, adjusted where appropriate by the amount shown in the</t>
  </si>
  <si>
    <t>‘space efficiency adjustment’ column of Table 4c; for gas and oil boilers see 9.2.1)</t>
  </si>
  <si>
    <t>Efficiency of main space heating system 2 (in %)</t>
  </si>
  <si>
    <t>Efficiency of secondary/supplementary heating system, % (from Table 4a or Appendix E)</t>
  </si>
  <si>
    <t>Cooling System Seasonal Energy Efficiency Ratio (see Table 10c)</t>
  </si>
  <si>
    <t>kWh/year</t>
  </si>
  <si>
    <t>Space heating requirement (calculated above)</t>
  </si>
  <si>
    <t>Space heating fuel (main heating system 1), kWh/month</t>
  </si>
  <si>
    <t>Space heating fuel (main heating system 2), kWh/month, omit if no second main heating system</t>
  </si>
  <si>
    <t>Space heating fuel (secondary), kWh/month</t>
  </si>
  <si>
    <t>(201)</t>
  </si>
  <si>
    <r>
      <t xml:space="preserve">1 – </t>
    </r>
    <r>
      <rPr>
        <sz val="11"/>
        <color rgb="FF0066FF"/>
        <rFont val="Aptos Narrow"/>
        <family val="2"/>
        <scheme val="minor"/>
      </rPr>
      <t>(201)</t>
    </r>
    <r>
      <rPr>
        <sz val="11"/>
        <color theme="1"/>
        <rFont val="Aptos Narrow"/>
        <family val="2"/>
        <scheme val="minor"/>
      </rPr>
      <t xml:space="preserve"> = </t>
    </r>
  </si>
  <si>
    <r>
      <rPr>
        <sz val="11"/>
        <color rgb="FF0066FF"/>
        <rFont val="Aptos Narrow"/>
        <family val="2"/>
        <scheme val="minor"/>
      </rPr>
      <t>(202)</t>
    </r>
    <r>
      <rPr>
        <sz val="11"/>
        <color theme="1"/>
        <rFont val="Aptos Narrow"/>
        <family val="2"/>
        <scheme val="minor"/>
      </rPr>
      <t xml:space="preserve"> × [1 – </t>
    </r>
    <r>
      <rPr>
        <sz val="11"/>
        <color rgb="FF0066FF"/>
        <rFont val="Aptos Narrow"/>
        <family val="2"/>
        <scheme val="minor"/>
      </rPr>
      <t>(203)</t>
    </r>
    <r>
      <rPr>
        <sz val="11"/>
        <color theme="1"/>
        <rFont val="Aptos Narrow"/>
        <family val="2"/>
        <scheme val="minor"/>
      </rPr>
      <t xml:space="preserve">] = </t>
    </r>
  </si>
  <si>
    <r>
      <rPr>
        <sz val="11"/>
        <color rgb="FF0066FF"/>
        <rFont val="Aptos Narrow"/>
        <family val="2"/>
        <scheme val="minor"/>
      </rPr>
      <t>(202)</t>
    </r>
    <r>
      <rPr>
        <sz val="11"/>
        <color theme="1"/>
        <rFont val="Aptos Narrow"/>
        <family val="2"/>
        <scheme val="minor"/>
      </rPr>
      <t xml:space="preserve"> × </t>
    </r>
    <r>
      <rPr>
        <sz val="11"/>
        <color rgb="FF0066FF"/>
        <rFont val="Aptos Narrow"/>
        <family val="2"/>
        <scheme val="minor"/>
      </rPr>
      <t>(203)</t>
    </r>
    <r>
      <rPr>
        <sz val="11"/>
        <color theme="1"/>
        <rFont val="Aptos Narrow"/>
        <family val="2"/>
        <scheme val="minor"/>
      </rPr>
      <t xml:space="preserve"> = </t>
    </r>
  </si>
  <si>
    <t>(202)</t>
  </si>
  <si>
    <t>(203)</t>
  </si>
  <si>
    <t>(204)</t>
  </si>
  <si>
    <t>(205)</t>
  </si>
  <si>
    <t>(206)</t>
  </si>
  <si>
    <t>(207)</t>
  </si>
  <si>
    <t>(208)</t>
  </si>
  <si>
    <t>(209)</t>
  </si>
  <si>
    <r>
      <t xml:space="preserve">If there is a second main system complete </t>
    </r>
    <r>
      <rPr>
        <i/>
        <sz val="11"/>
        <color rgb="FF0066FF"/>
        <rFont val="Aptos Narrow"/>
        <family val="2"/>
        <scheme val="minor"/>
      </rPr>
      <t>(207)</t>
    </r>
  </si>
  <si>
    <r>
      <t xml:space="preserve">Fraction of space heat from secondary/supplementary system (Table 11)         </t>
    </r>
    <r>
      <rPr>
        <i/>
        <sz val="11"/>
        <color theme="1"/>
        <rFont val="Aptos Narrow"/>
        <family val="2"/>
        <scheme val="minor"/>
      </rPr>
      <t>“0” if none</t>
    </r>
  </si>
  <si>
    <r>
      <t xml:space="preserve">Fraction of main heating from main system 2         </t>
    </r>
    <r>
      <rPr>
        <i/>
        <sz val="11"/>
        <color theme="1"/>
        <rFont val="Aptos Narrow"/>
        <family val="2"/>
        <scheme val="minor"/>
      </rPr>
      <t>if no second main system enter “0”</t>
    </r>
  </si>
  <si>
    <t>(211)</t>
  </si>
  <si>
    <t>(215)</t>
  </si>
  <si>
    <t>(213)</t>
  </si>
  <si>
    <r>
      <rPr>
        <sz val="11"/>
        <color rgb="FF0066FF"/>
        <rFont val="Aptos Narrow"/>
        <family val="2"/>
        <scheme val="minor"/>
      </rPr>
      <t>(211)</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(98c)</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(204)</t>
    </r>
    <r>
      <rPr>
        <sz val="11"/>
        <color theme="1"/>
        <rFont val="Aptos Narrow"/>
        <family val="2"/>
        <scheme val="minor"/>
      </rPr>
      <t xml:space="preserve"> × 100 ÷ </t>
    </r>
    <r>
      <rPr>
        <sz val="11"/>
        <color rgb="FF0066FF"/>
        <rFont val="Aptos Narrow"/>
        <family val="2"/>
        <scheme val="minor"/>
      </rPr>
      <t>(206)</t>
    </r>
  </si>
  <si>
    <r>
      <t>(211)</t>
    </r>
    <r>
      <rPr>
        <vertAlign val="subscript"/>
        <sz val="11"/>
        <color theme="1"/>
        <rFont val="Aptos Narrow"/>
        <family val="2"/>
        <scheme val="minor"/>
      </rPr>
      <t>m</t>
    </r>
    <r>
      <rPr>
        <sz val="11"/>
        <color theme="1"/>
        <rFont val="Aptos Narrow"/>
        <family val="2"/>
        <scheme val="minor"/>
      </rPr>
      <t xml:space="preserve"> =</t>
    </r>
  </si>
  <si>
    <r>
      <t>(213)</t>
    </r>
    <r>
      <rPr>
        <vertAlign val="subscript"/>
        <sz val="11"/>
        <color theme="1"/>
        <rFont val="Aptos Narrow"/>
        <family val="2"/>
        <scheme val="minor"/>
      </rPr>
      <t>m</t>
    </r>
    <r>
      <rPr>
        <sz val="11"/>
        <color theme="1"/>
        <rFont val="Aptos Narrow"/>
        <family val="2"/>
        <scheme val="minor"/>
      </rPr>
      <t xml:space="preserve"> =</t>
    </r>
  </si>
  <si>
    <r>
      <t>(215)</t>
    </r>
    <r>
      <rPr>
        <vertAlign val="subscript"/>
        <sz val="11"/>
        <color theme="1"/>
        <rFont val="Aptos Narrow"/>
        <family val="2"/>
        <scheme val="minor"/>
      </rPr>
      <t>m</t>
    </r>
    <r>
      <rPr>
        <sz val="11"/>
        <color theme="1"/>
        <rFont val="Aptos Narrow"/>
        <family val="2"/>
        <scheme val="minor"/>
      </rPr>
      <t xml:space="preserve"> =</t>
    </r>
  </si>
  <si>
    <r>
      <rPr>
        <sz val="11"/>
        <color rgb="FF0066FF"/>
        <rFont val="Aptos Narrow"/>
        <family val="2"/>
        <scheme val="minor"/>
      </rPr>
      <t>(213)</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(98c)</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(205)</t>
    </r>
    <r>
      <rPr>
        <sz val="11"/>
        <color theme="1"/>
        <rFont val="Aptos Narrow"/>
        <family val="2"/>
        <scheme val="minor"/>
      </rPr>
      <t xml:space="preserve"> × 100 ÷ </t>
    </r>
    <r>
      <rPr>
        <sz val="11"/>
        <color rgb="FF0066FF"/>
        <rFont val="Aptos Narrow"/>
        <family val="2"/>
        <scheme val="minor"/>
      </rPr>
      <t>(207)</t>
    </r>
  </si>
  <si>
    <r>
      <rPr>
        <sz val="11"/>
        <color rgb="FF0066FF"/>
        <rFont val="Aptos Narrow"/>
        <family val="2"/>
        <scheme val="minor"/>
      </rPr>
      <t>(215)</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(98c)</t>
    </r>
    <r>
      <rPr>
        <vertAlign val="subscript"/>
        <sz val="11"/>
        <color rgb="FF0066FF"/>
        <rFont val="Aptos Narrow"/>
        <family val="2"/>
        <scheme val="minor"/>
      </rPr>
      <t>m</t>
    </r>
    <r>
      <rPr>
        <sz val="11"/>
        <color theme="1"/>
        <rFont val="Aptos Narrow"/>
        <family val="2"/>
        <scheme val="minor"/>
      </rPr>
      <t xml:space="preserve"> × </t>
    </r>
    <r>
      <rPr>
        <sz val="11"/>
        <color rgb="FF0066FF"/>
        <rFont val="Aptos Narrow"/>
        <family val="2"/>
        <scheme val="minor"/>
      </rPr>
      <t>(201)</t>
    </r>
    <r>
      <rPr>
        <sz val="11"/>
        <color theme="1"/>
        <rFont val="Aptos Narrow"/>
        <family val="2"/>
        <scheme val="minor"/>
      </rPr>
      <t xml:space="preserve"> × 100 ÷ </t>
    </r>
    <r>
      <rPr>
        <sz val="11"/>
        <color rgb="FF0066FF"/>
        <rFont val="Aptos Narrow"/>
        <family val="2"/>
        <scheme val="minor"/>
      </rPr>
      <t>(208)</t>
    </r>
  </si>
  <si>
    <r>
      <t>Total (kWh/year) =</t>
    </r>
    <r>
      <rPr>
        <sz val="11"/>
        <color theme="1"/>
        <rFont val="Aptos Narrow"/>
        <family val="2"/>
      </rPr>
      <t>∑</t>
    </r>
    <r>
      <rPr>
        <sz val="11"/>
        <color theme="1"/>
        <rFont val="Aptos Narrow"/>
        <family val="2"/>
        <scheme val="minor"/>
      </rPr>
      <t>(211)</t>
    </r>
    <r>
      <rPr>
        <vertAlign val="subscript"/>
        <sz val="11"/>
        <color theme="1"/>
        <rFont val="Aptos Narrow"/>
        <family val="2"/>
        <scheme val="minor"/>
      </rPr>
      <t>1..5,10..12</t>
    </r>
    <r>
      <rPr>
        <sz val="11"/>
        <color theme="1"/>
        <rFont val="Aptos Narrow"/>
        <family val="2"/>
        <scheme val="minor"/>
      </rPr>
      <t xml:space="preserve"> = </t>
    </r>
  </si>
  <si>
    <r>
      <t xml:space="preserve">Total (kWh/year) =∑(213) </t>
    </r>
    <r>
      <rPr>
        <vertAlign val="subscript"/>
        <sz val="11"/>
        <color theme="1"/>
        <rFont val="Aptos Narrow"/>
        <family val="2"/>
        <scheme val="minor"/>
      </rPr>
      <t>1..5,10..12</t>
    </r>
    <r>
      <rPr>
        <sz val="11"/>
        <color theme="1"/>
        <rFont val="Aptos Narrow"/>
        <family val="2"/>
        <scheme val="minor"/>
      </rPr>
      <t xml:space="preserve"> = </t>
    </r>
  </si>
  <si>
    <r>
      <t xml:space="preserve">Total (kWh/year) = ∑(215) </t>
    </r>
    <r>
      <rPr>
        <vertAlign val="subscript"/>
        <sz val="11"/>
        <color theme="1"/>
        <rFont val="Aptos Narrow"/>
        <family val="2"/>
        <scheme val="minor"/>
      </rPr>
      <t>1..5,10..12</t>
    </r>
    <r>
      <rPr>
        <sz val="11"/>
        <color theme="1"/>
        <rFont val="Aptos Narrow"/>
        <family val="2"/>
        <scheme val="minor"/>
      </rPr>
      <t xml:space="preserve"> = </t>
    </r>
  </si>
  <si>
    <t>Water heating</t>
  </si>
  <si>
    <t>Output from water heater (calculated above)</t>
  </si>
  <si>
    <t>Efficiency of water heater</t>
  </si>
  <si>
    <t>shown in the 'DHW efficiency adjustment' column of Table 4c. There are two exceptions:</t>
  </si>
  <si>
    <t>Appendix D using database record, or taken from Table 4a. In either case, then adjust where appropriate by the amount shown</t>
  </si>
  <si>
    <t>in the 'DHW efficiency adjustment' column of Table 4c.</t>
  </si>
  <si>
    <t>Appendix N using database record.</t>
  </si>
  <si>
    <r>
      <t>B)  mCHP main system 1 or 2 used for water heating: (217)</t>
    </r>
    <r>
      <rPr>
        <vertAlign val="subscript"/>
        <sz val="11"/>
        <color theme="1"/>
        <rFont val="Aptos Narrow"/>
        <family val="2"/>
        <scheme val="minor"/>
      </rPr>
      <t>m</t>
    </r>
    <r>
      <rPr>
        <sz val="11"/>
        <color theme="1"/>
        <rFont val="Aptos Narrow"/>
        <family val="2"/>
        <scheme val="minor"/>
      </rPr>
      <t xml:space="preserve"> = value calculated for each month using equation (N8) in</t>
    </r>
  </si>
  <si>
    <r>
      <t>A)  Gas/oil boiler main system 1 or 2 used for water heating: (217)</t>
    </r>
    <r>
      <rPr>
        <vertAlign val="subscript"/>
        <sz val="11"/>
        <color theme="1"/>
        <rFont val="Aptos Narrow"/>
        <family val="2"/>
        <scheme val="minor"/>
      </rPr>
      <t>m</t>
    </r>
    <r>
      <rPr>
        <sz val="11"/>
        <color theme="1"/>
        <rFont val="Aptos Narrow"/>
        <family val="2"/>
        <scheme val="minor"/>
      </rPr>
      <t xml:space="preserve"> = value calculted for each month using equation (D1) in</t>
    </r>
  </si>
  <si>
    <r>
      <t>Monthly value (217)</t>
    </r>
    <r>
      <rPr>
        <vertAlign val="subscript"/>
        <sz val="11"/>
        <color theme="1"/>
        <rFont val="Aptos Narrow"/>
        <family val="2"/>
        <scheme val="minor"/>
      </rPr>
      <t>m</t>
    </r>
    <r>
      <rPr>
        <sz val="11"/>
        <color theme="1"/>
        <rFont val="Aptos Narrow"/>
        <family val="2"/>
        <scheme val="minor"/>
      </rPr>
      <t xml:space="preserve"> taken as annual value from database record or Table 4a and adjusted where appropriate by the amount</t>
    </r>
  </si>
  <si>
    <r>
      <t>(217)</t>
    </r>
    <r>
      <rPr>
        <vertAlign val="subscript"/>
        <sz val="11"/>
        <color theme="1"/>
        <rFont val="Aptos Narrow"/>
        <family val="2"/>
        <scheme val="minor"/>
      </rPr>
      <t>m</t>
    </r>
    <r>
      <rPr>
        <sz val="11"/>
        <color theme="1"/>
        <rFont val="Aptos Narrow"/>
        <family val="2"/>
        <scheme val="minor"/>
      </rPr>
      <t xml:space="preserve"> =</t>
    </r>
  </si>
  <si>
    <t>(217)</t>
  </si>
  <si>
    <t>Fuel for water heating, kWh/month</t>
  </si>
  <si>
    <r>
      <t xml:space="preserve">(219)m = </t>
    </r>
    <r>
      <rPr>
        <sz val="11"/>
        <color rgb="FF0066FF"/>
        <rFont val="Aptos Narrow"/>
        <family val="2"/>
        <scheme val="minor"/>
      </rPr>
      <t>(64)</t>
    </r>
    <r>
      <rPr>
        <vertAlign val="subscript"/>
        <sz val="11"/>
        <color rgb="FF0066FF"/>
        <rFont val="Aptos Narrow"/>
        <family val="2"/>
        <scheme val="minor"/>
      </rPr>
      <t>m</t>
    </r>
    <r>
      <rPr>
        <sz val="11"/>
        <color theme="1"/>
        <rFont val="Aptos Narrow"/>
        <family val="2"/>
        <scheme val="minor"/>
      </rPr>
      <t xml:space="preserve"> </t>
    </r>
    <r>
      <rPr>
        <sz val="11"/>
        <color theme="1"/>
        <rFont val="Aptos Narrow"/>
        <family val="2"/>
      </rPr>
      <t>× 100 ÷</t>
    </r>
    <r>
      <rPr>
        <sz val="11"/>
        <color theme="1"/>
        <rFont val="Aptos Narrow"/>
        <family val="2"/>
        <scheme val="minor"/>
      </rPr>
      <t xml:space="preserve"> </t>
    </r>
    <r>
      <rPr>
        <sz val="11"/>
        <color rgb="FF0066FF"/>
        <rFont val="Aptos Narrow"/>
        <family val="2"/>
        <scheme val="minor"/>
      </rPr>
      <t>(217)</t>
    </r>
    <r>
      <rPr>
        <vertAlign val="subscript"/>
        <sz val="11"/>
        <color rgb="FF0066FF"/>
        <rFont val="Aptos Narrow"/>
        <family val="2"/>
        <scheme val="minor"/>
      </rPr>
      <t>m</t>
    </r>
  </si>
  <si>
    <r>
      <t>(219)</t>
    </r>
    <r>
      <rPr>
        <vertAlign val="subscript"/>
        <sz val="11"/>
        <color theme="1"/>
        <rFont val="Aptos Narrow"/>
        <family val="2"/>
        <scheme val="minor"/>
      </rPr>
      <t>m</t>
    </r>
    <r>
      <rPr>
        <sz val="11"/>
        <color theme="1"/>
        <rFont val="Aptos Narrow"/>
        <family val="2"/>
        <scheme val="minor"/>
      </rPr>
      <t xml:space="preserve"> =</t>
    </r>
  </si>
  <si>
    <r>
      <t xml:space="preserve">Total = </t>
    </r>
    <r>
      <rPr>
        <sz val="11"/>
        <color theme="1"/>
        <rFont val="Aptos Narrow"/>
        <family val="2"/>
      </rPr>
      <t>∑(219a)</t>
    </r>
    <r>
      <rPr>
        <vertAlign val="subscript"/>
        <sz val="11"/>
        <color theme="1"/>
        <rFont val="Aptos Narrow"/>
        <family val="2"/>
      </rPr>
      <t xml:space="preserve">1…12 </t>
    </r>
    <r>
      <rPr>
        <sz val="11"/>
        <color theme="1"/>
        <rFont val="Aptos Narrow"/>
        <family val="2"/>
      </rPr>
      <t xml:space="preserve">= </t>
    </r>
  </si>
  <si>
    <t>(219)</t>
  </si>
  <si>
    <r>
      <t xml:space="preserve">(for a DHW-only heat network use </t>
    </r>
    <r>
      <rPr>
        <sz val="11"/>
        <color rgb="FF0066FF"/>
        <rFont val="Aptos Narrow"/>
        <family val="2"/>
        <scheme val="minor"/>
      </rPr>
      <t>(305)</t>
    </r>
    <r>
      <rPr>
        <sz val="11"/>
        <color theme="1"/>
        <rFont val="Aptos Narrow"/>
        <family val="2"/>
        <scheme val="minor"/>
      </rPr>
      <t xml:space="preserve">, </t>
    </r>
    <r>
      <rPr>
        <sz val="11"/>
        <color rgb="FF0066FF"/>
        <rFont val="Aptos Narrow"/>
        <family val="2"/>
        <scheme val="minor"/>
      </rPr>
      <t>(306)</t>
    </r>
    <r>
      <rPr>
        <sz val="11"/>
        <color theme="1"/>
        <rFont val="Aptos Narrow"/>
        <family val="2"/>
        <scheme val="minor"/>
      </rPr>
      <t xml:space="preserve"> and </t>
    </r>
    <r>
      <rPr>
        <sz val="11"/>
        <color rgb="FF0066FF"/>
        <rFont val="Aptos Narrow"/>
        <family val="2"/>
        <scheme val="minor"/>
      </rPr>
      <t>(310b)</t>
    </r>
    <r>
      <rPr>
        <sz val="11"/>
        <color theme="1"/>
        <rFont val="Aptos Narrow"/>
        <family val="2"/>
        <scheme val="minor"/>
      </rPr>
      <t>, with</t>
    </r>
    <r>
      <rPr>
        <sz val="11"/>
        <color rgb="FF0066FF"/>
        <rFont val="Aptos Narrow"/>
        <family val="2"/>
        <scheme val="minor"/>
      </rPr>
      <t xml:space="preserve"> (304a)</t>
    </r>
    <r>
      <rPr>
        <sz val="11"/>
        <color theme="1"/>
        <rFont val="Aptos Narrow"/>
        <family val="2"/>
        <scheme val="minor"/>
      </rPr>
      <t xml:space="preserve">=1.0 or </t>
    </r>
    <r>
      <rPr>
        <sz val="11"/>
        <color rgb="FF0066FF"/>
        <rFont val="Aptos Narrow"/>
        <family val="2"/>
        <scheme val="minor"/>
      </rPr>
      <t>(304b)</t>
    </r>
    <r>
      <rPr>
        <sz val="11"/>
        <color theme="1"/>
        <rFont val="Aptos Narrow"/>
        <family val="2"/>
        <scheme val="minor"/>
      </rPr>
      <t xml:space="preserve">=1.0, instead of </t>
    </r>
    <r>
      <rPr>
        <sz val="11"/>
        <color rgb="FF0066FF"/>
        <rFont val="Aptos Narrow"/>
        <family val="2"/>
        <scheme val="minor"/>
      </rPr>
      <t>(219)</t>
    </r>
  </si>
  <si>
    <t>Space cooling</t>
  </si>
  <si>
    <t>Space cooling fuel, kWh/month</t>
  </si>
  <si>
    <r>
      <t>(221)</t>
    </r>
    <r>
      <rPr>
        <vertAlign val="subscript"/>
        <sz val="11"/>
        <color theme="1"/>
        <rFont val="Aptos Narrow"/>
        <family val="2"/>
        <scheme val="minor"/>
      </rPr>
      <t>m</t>
    </r>
    <r>
      <rPr>
        <sz val="11"/>
        <color theme="1"/>
        <rFont val="Aptos Narrow"/>
        <family val="2"/>
        <scheme val="minor"/>
      </rPr>
      <t xml:space="preserve"> =</t>
    </r>
  </si>
  <si>
    <r>
      <t xml:space="preserve">Total = </t>
    </r>
    <r>
      <rPr>
        <sz val="11"/>
        <color theme="1"/>
        <rFont val="Aptos Narrow"/>
        <family val="2"/>
      </rPr>
      <t>∑(221)</t>
    </r>
    <r>
      <rPr>
        <vertAlign val="subscript"/>
        <sz val="11"/>
        <color theme="1"/>
        <rFont val="Aptos Narrow"/>
        <family val="2"/>
      </rPr>
      <t xml:space="preserve">1…12 </t>
    </r>
    <r>
      <rPr>
        <sz val="11"/>
        <color theme="1"/>
        <rFont val="Aptos Narrow"/>
        <family val="2"/>
      </rPr>
      <t xml:space="preserve">= </t>
    </r>
  </si>
  <si>
    <t>(221)</t>
  </si>
  <si>
    <t>Annual totals</t>
  </si>
  <si>
    <t>Space heating fuel used, main system 1</t>
  </si>
  <si>
    <t>Space heating fuel used, main system 2</t>
  </si>
  <si>
    <t>Space heating fuel used, secondary</t>
  </si>
  <si>
    <t>Water heating fuel used</t>
  </si>
  <si>
    <t>Electricity for instantaneous electric shower(s)</t>
  </si>
  <si>
    <r>
      <rPr>
        <b/>
        <sz val="11"/>
        <color theme="1"/>
        <rFont val="Aptos Narrow"/>
        <family val="2"/>
        <scheme val="minor"/>
      </rPr>
      <t>Space cooling fuel used</t>
    </r>
    <r>
      <rPr>
        <sz val="11"/>
        <color theme="1"/>
        <rFont val="Aptos Narrow"/>
        <family val="2"/>
        <scheme val="minor"/>
      </rPr>
      <t xml:space="preserve"> (if there is a fixed cooling system, if not enter 0)</t>
    </r>
  </si>
  <si>
    <r>
      <rPr>
        <b/>
        <sz val="11"/>
        <color theme="1"/>
        <rFont val="Aptos Narrow"/>
        <family val="2"/>
        <scheme val="minor"/>
      </rPr>
      <t>Electricity for pumps, fans and electric keep-hot</t>
    </r>
    <r>
      <rPr>
        <sz val="11"/>
        <color theme="1"/>
        <rFont val="Aptos Narrow"/>
        <family val="2"/>
        <scheme val="minor"/>
      </rPr>
      <t xml:space="preserve"> (Table 4f):</t>
    </r>
  </si>
  <si>
    <t>mechanical ventilation fans - balanced, extract or positive input from outside</t>
  </si>
  <si>
    <t>warm air heating system fans</t>
  </si>
  <si>
    <t>heating circulation pump or water pump within warm air heating unit</t>
  </si>
  <si>
    <t>oil boiler auxiliary (oil pump, flue fan, etc; excludes circulation pump)</t>
  </si>
  <si>
    <t>gas boiler auxiliary (flue fan, etc; excludes circulation pump)</t>
  </si>
  <si>
    <t>maintaining electric keep-hot facility for gas combi boiler</t>
  </si>
  <si>
    <t>pump for solar water heating</t>
  </si>
  <si>
    <t>pump for storage WWHRS (see section G3.3)</t>
  </si>
  <si>
    <t>Total electricity for the above, kWh/year</t>
  </si>
  <si>
    <r>
      <rPr>
        <b/>
        <sz val="11"/>
        <color theme="1"/>
        <rFont val="Aptos Narrow"/>
        <family val="2"/>
        <scheme val="minor"/>
      </rPr>
      <t>Electricity for lighting</t>
    </r>
    <r>
      <rPr>
        <sz val="11"/>
        <color theme="1"/>
        <rFont val="Aptos Narrow"/>
        <family val="2"/>
        <scheme val="minor"/>
      </rPr>
      <t xml:space="preserve"> (calculated in Appendix L)</t>
    </r>
  </si>
  <si>
    <t>(230a)</t>
  </si>
  <si>
    <t>(230b)</t>
  </si>
  <si>
    <t>(230c)</t>
  </si>
  <si>
    <t>(230d)</t>
  </si>
  <si>
    <t>(230e)</t>
  </si>
  <si>
    <t>(230f)</t>
  </si>
  <si>
    <t>(230g)</t>
  </si>
  <si>
    <t>(230h)</t>
  </si>
  <si>
    <t>(231)</t>
  </si>
  <si>
    <t>(232)</t>
  </si>
  <si>
    <t xml:space="preserve">sum of (230a)…(230h) = </t>
  </si>
  <si>
    <t>Electricity generated by PVs (Appendix M) (negative quantity)</t>
  </si>
  <si>
    <t>Electricity generated by wind turbines (Appendix M) (negative quantity)</t>
  </si>
  <si>
    <t>Electricity generated by hydro-electric generators (Appendix M) (negative quantity)</t>
  </si>
  <si>
    <t>Electricity used or net electricity generated by micro-CHP (Appendix N) (negative if net generation)</t>
  </si>
  <si>
    <r>
      <rPr>
        <b/>
        <sz val="11"/>
        <color theme="1"/>
        <rFont val="Aptos Narrow"/>
        <family val="2"/>
        <scheme val="minor"/>
      </rPr>
      <t>Energy saving/generation technologies</t>
    </r>
    <r>
      <rPr>
        <sz val="11"/>
        <color theme="1"/>
        <rFont val="Aptos Narrow"/>
        <family val="2"/>
        <scheme val="minor"/>
      </rPr>
      <t xml:space="preserve"> (Appendices M, N) - </t>
    </r>
    <r>
      <rPr>
        <b/>
        <sz val="11"/>
        <color theme="1"/>
        <rFont val="Aptos Narrow"/>
        <family val="2"/>
        <scheme val="minor"/>
      </rPr>
      <t>Energy used in dwelling</t>
    </r>
  </si>
  <si>
    <t>(233a)</t>
  </si>
  <si>
    <t>(234a)</t>
  </si>
  <si>
    <t>(235a)</t>
  </si>
  <si>
    <t>(235c)</t>
  </si>
  <si>
    <r>
      <rPr>
        <b/>
        <sz val="11"/>
        <color theme="1"/>
        <rFont val="Aptos Narrow"/>
        <family val="2"/>
        <scheme val="minor"/>
      </rPr>
      <t>Energy saving/generation technologies</t>
    </r>
    <r>
      <rPr>
        <sz val="11"/>
        <color theme="1"/>
        <rFont val="Aptos Narrow"/>
        <family val="2"/>
        <scheme val="minor"/>
      </rPr>
      <t xml:space="preserve"> (Appendices M, N) - </t>
    </r>
    <r>
      <rPr>
        <b/>
        <sz val="11"/>
        <color theme="1"/>
        <rFont val="Aptos Narrow"/>
        <family val="2"/>
        <scheme val="minor"/>
      </rPr>
      <t>Energy exported</t>
    </r>
  </si>
  <si>
    <t>(233b)</t>
  </si>
  <si>
    <t>(234b)</t>
  </si>
  <si>
    <t>(235b)</t>
  </si>
  <si>
    <t>(235d)</t>
  </si>
  <si>
    <r>
      <rPr>
        <b/>
        <sz val="11"/>
        <color theme="1"/>
        <rFont val="Aptos Narrow"/>
        <family val="2"/>
        <scheme val="minor"/>
      </rPr>
      <t>Appendix Q items</t>
    </r>
    <r>
      <rPr>
        <sz val="11"/>
        <color theme="1"/>
        <rFont val="Aptos Narrow"/>
        <family val="2"/>
        <scheme val="minor"/>
      </rPr>
      <t>: annual energy (items not already included on a monthly basis)</t>
    </r>
  </si>
  <si>
    <t>Appendix Q, &lt;item 1 description&gt;</t>
  </si>
  <si>
    <t>Appendix Q, &lt;item 2 description&gt;</t>
  </si>
  <si>
    <t xml:space="preserve">    energy saved or generated (enter as negative quantity)</t>
  </si>
  <si>
    <t xml:space="preserve">    energy used (positive quantity)</t>
  </si>
  <si>
    <t>(continue this list if additional items)</t>
  </si>
  <si>
    <t>Total delivered energy for all uses</t>
  </si>
  <si>
    <t>Fuel</t>
  </si>
  <si>
    <t>(236a)</t>
  </si>
  <si>
    <t>(237a)</t>
  </si>
  <si>
    <t>(236b)</t>
  </si>
  <si>
    <t>(237b)</t>
  </si>
  <si>
    <t>(238)</t>
  </si>
  <si>
    <r>
      <rPr>
        <sz val="11"/>
        <color rgb="FF0066FF"/>
        <rFont val="Aptos Narrow"/>
        <family val="2"/>
        <scheme val="minor"/>
      </rPr>
      <t>(211)</t>
    </r>
    <r>
      <rPr>
        <sz val="11"/>
        <color theme="1"/>
        <rFont val="Aptos Narrow"/>
        <family val="2"/>
        <scheme val="minor"/>
      </rPr>
      <t>…</t>
    </r>
    <r>
      <rPr>
        <sz val="11"/>
        <color rgb="FF0066FF"/>
        <rFont val="Aptos Narrow"/>
        <family val="2"/>
        <scheme val="minor"/>
      </rPr>
      <t>(221)</t>
    </r>
    <r>
      <rPr>
        <sz val="11"/>
        <color theme="1"/>
        <rFont val="Aptos Narrow"/>
        <family val="2"/>
        <scheme val="minor"/>
      </rPr>
      <t xml:space="preserve"> + </t>
    </r>
    <r>
      <rPr>
        <sz val="11"/>
        <color rgb="FF0066FF"/>
        <rFont val="Aptos Narrow"/>
        <family val="2"/>
        <scheme val="minor"/>
      </rPr>
      <t>(231)</t>
    </r>
    <r>
      <rPr>
        <sz val="11"/>
        <color theme="1"/>
        <rFont val="Aptos Narrow"/>
        <family val="2"/>
        <scheme val="minor"/>
      </rPr>
      <t xml:space="preserve"> + </t>
    </r>
    <r>
      <rPr>
        <sz val="11"/>
        <color rgb="FF0066FF"/>
        <rFont val="Aptos Narrow"/>
        <family val="2"/>
        <scheme val="minor"/>
      </rPr>
      <t>(232)</t>
    </r>
    <r>
      <rPr>
        <sz val="11"/>
        <color theme="1"/>
        <rFont val="Aptos Narrow"/>
        <family val="2"/>
        <scheme val="minor"/>
      </rPr>
      <t>…</t>
    </r>
    <r>
      <rPr>
        <sz val="11"/>
        <color rgb="FF0066FF"/>
        <rFont val="Aptos Narrow"/>
        <family val="2"/>
        <scheme val="minor"/>
      </rPr>
      <t>(237b)</t>
    </r>
    <r>
      <rPr>
        <sz val="11"/>
        <color theme="1"/>
        <rFont val="Aptos Narrow"/>
        <family val="2"/>
        <scheme val="minor"/>
      </rPr>
      <t xml:space="preserve"> = </t>
    </r>
  </si>
  <si>
    <t>10a. Fuel costs – Individual heating systems including micro-CHP</t>
  </si>
  <si>
    <t>Space heating - main system 1 (electric off-peak tariff)</t>
  </si>
  <si>
    <t>High-rate fraction (Table 12a, or Appendix F for electric CPSU)</t>
  </si>
  <si>
    <t>Low-rate fraction</t>
  </si>
  <si>
    <t>High-rate cost</t>
  </si>
  <si>
    <t>Fuel required</t>
  </si>
  <si>
    <t>Fuel price</t>
  </si>
  <si>
    <t>(Table 12)</t>
  </si>
  <si>
    <t>× 0.01 =</t>
  </si>
  <si>
    <r>
      <t xml:space="preserve">1.0 – </t>
    </r>
    <r>
      <rPr>
        <sz val="11"/>
        <color rgb="FF0066FF"/>
        <rFont val="Aptos Narrow"/>
        <family val="2"/>
        <scheme val="minor"/>
      </rPr>
      <t>(240a)</t>
    </r>
    <r>
      <rPr>
        <sz val="11"/>
        <color theme="1"/>
        <rFont val="Aptos Narrow"/>
        <family val="2"/>
        <scheme val="minor"/>
      </rPr>
      <t xml:space="preserve"> = </t>
    </r>
  </si>
  <si>
    <r>
      <rPr>
        <sz val="11"/>
        <color rgb="FF0066FF"/>
        <rFont val="Aptos Narrow"/>
        <family val="2"/>
        <scheme val="minor"/>
      </rPr>
      <t>(211)</t>
    </r>
    <r>
      <rPr>
        <sz val="11"/>
        <color theme="1"/>
        <rFont val="Aptos Narrow"/>
        <family val="2"/>
        <scheme val="minor"/>
      </rPr>
      <t xml:space="preserve"> x </t>
    </r>
    <r>
      <rPr>
        <sz val="11"/>
        <color rgb="FF0066FF"/>
        <rFont val="Aptos Narrow"/>
        <family val="2"/>
        <scheme val="minor"/>
      </rPr>
      <t>(240a)</t>
    </r>
  </si>
  <si>
    <t>(240a)</t>
  </si>
  <si>
    <t>(240b)</t>
  </si>
  <si>
    <t>(240c)</t>
  </si>
  <si>
    <t>(240d)</t>
  </si>
  <si>
    <t>(240e)</t>
  </si>
  <si>
    <t>Low-rate cost</t>
  </si>
  <si>
    <t>Space heating - main system 1 cost (other fuel)</t>
  </si>
  <si>
    <r>
      <rPr>
        <sz val="11"/>
        <color rgb="FF0066FF"/>
        <rFont val="Aptos Narrow"/>
        <family val="2"/>
        <scheme val="minor"/>
      </rPr>
      <t>(211)</t>
    </r>
    <r>
      <rPr>
        <sz val="11"/>
        <color theme="1"/>
        <rFont val="Aptos Narrow"/>
        <family val="2"/>
        <scheme val="minor"/>
      </rPr>
      <t xml:space="preserve"> x </t>
    </r>
    <r>
      <rPr>
        <sz val="11"/>
        <color rgb="FF0066FF"/>
        <rFont val="Aptos Narrow"/>
        <family val="2"/>
        <scheme val="minor"/>
      </rPr>
      <t>(240b)</t>
    </r>
  </si>
  <si>
    <t>Space heating - main system 2 (electric off-peak tariff)</t>
  </si>
  <si>
    <t>(241a)</t>
  </si>
  <si>
    <t>(242b)</t>
  </si>
  <si>
    <t>(241b)</t>
  </si>
  <si>
    <t>(241c)</t>
  </si>
  <si>
    <t>(241d)</t>
  </si>
  <si>
    <t>(241e)</t>
  </si>
  <si>
    <r>
      <t xml:space="preserve">1.0 – </t>
    </r>
    <r>
      <rPr>
        <sz val="11"/>
        <color rgb="FF0066FF"/>
        <rFont val="Aptos Narrow"/>
        <family val="2"/>
        <scheme val="minor"/>
      </rPr>
      <t>(241a)</t>
    </r>
    <r>
      <rPr>
        <sz val="11"/>
        <color theme="1"/>
        <rFont val="Aptos Narrow"/>
        <family val="2"/>
        <scheme val="minor"/>
      </rPr>
      <t xml:space="preserve"> = </t>
    </r>
  </si>
  <si>
    <r>
      <rPr>
        <sz val="11"/>
        <color rgb="FF0066FF"/>
        <rFont val="Aptos Narrow"/>
        <family val="2"/>
        <scheme val="minor"/>
      </rPr>
      <t>(213)</t>
    </r>
    <r>
      <rPr>
        <sz val="11"/>
        <color theme="1"/>
        <rFont val="Aptos Narrow"/>
        <family val="2"/>
        <scheme val="minor"/>
      </rPr>
      <t xml:space="preserve"> x </t>
    </r>
    <r>
      <rPr>
        <sz val="11"/>
        <color rgb="FF0066FF"/>
        <rFont val="Aptos Narrow"/>
        <family val="2"/>
        <scheme val="minor"/>
      </rPr>
      <t>(241a)</t>
    </r>
  </si>
  <si>
    <r>
      <rPr>
        <sz val="11"/>
        <color rgb="FF0066FF"/>
        <rFont val="Aptos Narrow"/>
        <family val="2"/>
        <scheme val="minor"/>
      </rPr>
      <t>(213)</t>
    </r>
    <r>
      <rPr>
        <sz val="11"/>
        <color theme="1"/>
        <rFont val="Aptos Narrow"/>
        <family val="2"/>
        <scheme val="minor"/>
      </rPr>
      <t xml:space="preserve"> x </t>
    </r>
    <r>
      <rPr>
        <sz val="11"/>
        <color rgb="FF0066FF"/>
        <rFont val="Aptos Narrow"/>
        <family val="2"/>
        <scheme val="minor"/>
      </rPr>
      <t>(241b)</t>
    </r>
  </si>
  <si>
    <t>Space heating - secondary (electric off-peak tariff)</t>
  </si>
  <si>
    <t>Space heating - main system 2 cost (other fuel)</t>
  </si>
  <si>
    <t>Space heating - secondary cost (other fuel)</t>
  </si>
  <si>
    <t>(242a)</t>
  </si>
  <si>
    <t>(242c)</t>
  </si>
  <si>
    <t>(242d)</t>
  </si>
  <si>
    <t>(242e)</t>
  </si>
  <si>
    <r>
      <t xml:space="preserve">1.0 – </t>
    </r>
    <r>
      <rPr>
        <sz val="11"/>
        <color rgb="FF0066FF"/>
        <rFont val="Aptos Narrow"/>
        <family val="2"/>
        <scheme val="minor"/>
      </rPr>
      <t>(242a)</t>
    </r>
    <r>
      <rPr>
        <sz val="11"/>
        <color theme="1"/>
        <rFont val="Aptos Narrow"/>
        <family val="2"/>
        <scheme val="minor"/>
      </rPr>
      <t xml:space="preserve"> = </t>
    </r>
  </si>
  <si>
    <r>
      <rPr>
        <sz val="11"/>
        <color rgb="FF0066FF"/>
        <rFont val="Aptos Narrow"/>
        <family val="2"/>
        <scheme val="minor"/>
      </rPr>
      <t>(215)</t>
    </r>
    <r>
      <rPr>
        <sz val="11"/>
        <color theme="1"/>
        <rFont val="Aptos Narrow"/>
        <family val="2"/>
        <scheme val="minor"/>
      </rPr>
      <t xml:space="preserve"> x </t>
    </r>
    <r>
      <rPr>
        <sz val="11"/>
        <color rgb="FF0066FF"/>
        <rFont val="Aptos Narrow"/>
        <family val="2"/>
        <scheme val="minor"/>
      </rPr>
      <t>(242a)</t>
    </r>
  </si>
  <si>
    <r>
      <rPr>
        <sz val="11"/>
        <color rgb="FF0066FF"/>
        <rFont val="Aptos Narrow"/>
        <family val="2"/>
        <scheme val="minor"/>
      </rPr>
      <t>(215)</t>
    </r>
    <r>
      <rPr>
        <sz val="11"/>
        <color theme="1"/>
        <rFont val="Aptos Narrow"/>
        <family val="2"/>
        <scheme val="minor"/>
      </rPr>
      <t xml:space="preserve"> x </t>
    </r>
    <r>
      <rPr>
        <sz val="11"/>
        <color rgb="FF0066FF"/>
        <rFont val="Aptos Narrow"/>
        <family val="2"/>
        <scheme val="minor"/>
      </rPr>
      <t>(242b)</t>
    </r>
  </si>
  <si>
    <t>Water heating (electric off-peak tariff)</t>
  </si>
  <si>
    <t>Water heating cost (other fuel)</t>
  </si>
  <si>
    <t>(243)</t>
  </si>
  <si>
    <t>(244)</t>
  </si>
  <si>
    <t>(245)</t>
  </si>
  <si>
    <t>(246)</t>
  </si>
  <si>
    <t>(247)</t>
  </si>
  <si>
    <r>
      <t xml:space="preserve">1.0 – </t>
    </r>
    <r>
      <rPr>
        <sz val="11"/>
        <color rgb="FF0066FF"/>
        <rFont val="Aptos Narrow"/>
        <family val="2"/>
        <scheme val="minor"/>
      </rPr>
      <t>(243)</t>
    </r>
    <r>
      <rPr>
        <sz val="11"/>
        <color theme="1"/>
        <rFont val="Aptos Narrow"/>
        <family val="2"/>
        <scheme val="minor"/>
      </rPr>
      <t xml:space="preserve"> = </t>
    </r>
  </si>
  <si>
    <r>
      <rPr>
        <sz val="11"/>
        <color rgb="FF0066FF"/>
        <rFont val="Aptos Narrow"/>
        <family val="2"/>
        <scheme val="minor"/>
      </rPr>
      <t>(219)</t>
    </r>
    <r>
      <rPr>
        <sz val="11"/>
        <color theme="1"/>
        <rFont val="Aptos Narrow"/>
        <family val="2"/>
        <scheme val="minor"/>
      </rPr>
      <t xml:space="preserve"> x </t>
    </r>
    <r>
      <rPr>
        <sz val="11"/>
        <color rgb="FF0066FF"/>
        <rFont val="Aptos Narrow"/>
        <family val="2"/>
        <scheme val="minor"/>
      </rPr>
      <t>(243)</t>
    </r>
  </si>
  <si>
    <r>
      <rPr>
        <sz val="11"/>
        <color rgb="FF0066FF"/>
        <rFont val="Aptos Narrow"/>
        <family val="2"/>
        <scheme val="minor"/>
      </rPr>
      <t>(219)</t>
    </r>
    <r>
      <rPr>
        <sz val="11"/>
        <color theme="1"/>
        <rFont val="Aptos Narrow"/>
        <family val="2"/>
        <scheme val="minor"/>
      </rPr>
      <t xml:space="preserve"> x </t>
    </r>
    <r>
      <rPr>
        <sz val="11"/>
        <color rgb="FF0066FF"/>
        <rFont val="Aptos Narrow"/>
        <family val="2"/>
        <scheme val="minor"/>
      </rPr>
      <t>(244)</t>
    </r>
  </si>
  <si>
    <r>
      <t xml:space="preserve">(for a DHW-only heat network use </t>
    </r>
    <r>
      <rPr>
        <sz val="11"/>
        <color rgb="FF0066FF"/>
        <rFont val="Aptos Narrow"/>
        <family val="2"/>
        <scheme val="minor"/>
      </rPr>
      <t>(342a)</t>
    </r>
    <r>
      <rPr>
        <sz val="11"/>
        <color theme="1"/>
        <rFont val="Aptos Narrow"/>
        <family val="2"/>
        <scheme val="minor"/>
      </rPr>
      <t xml:space="preserve"> or </t>
    </r>
    <r>
      <rPr>
        <sz val="11"/>
        <color rgb="FF0066FF"/>
        <rFont val="Aptos Narrow"/>
        <family val="2"/>
        <scheme val="minor"/>
      </rPr>
      <t>(342b)</t>
    </r>
    <r>
      <rPr>
        <sz val="11"/>
        <color theme="1"/>
        <rFont val="Aptos Narrow"/>
        <family val="2"/>
        <scheme val="minor"/>
      </rPr>
      <t xml:space="preserve"> instead of </t>
    </r>
    <r>
      <rPr>
        <sz val="11"/>
        <color rgb="FF0066FF"/>
        <rFont val="Aptos Narrow"/>
        <family val="2"/>
        <scheme val="minor"/>
      </rPr>
      <t>(247)</t>
    </r>
  </si>
  <si>
    <t>Energy for instantaneous electric shower(s)</t>
  </si>
  <si>
    <t>Pumps, fans and electric keep-hot</t>
  </si>
  <si>
    <t xml:space="preserve">    (if off-peak tariff, list each of (230a) to (230g) separately as applicable and apply fuel price according to Table 12a)</t>
  </si>
  <si>
    <t>Energy for lighting</t>
  </si>
  <si>
    <t>Additional standing charges (Table 12)</t>
  </si>
  <si>
    <t>Energy saving/generation technologies</t>
  </si>
  <si>
    <t xml:space="preserve">    &lt;description&gt;</t>
  </si>
  <si>
    <t>Appendix Q items:</t>
  </si>
  <si>
    <t xml:space="preserve">    &lt;description&gt;, energy saved</t>
  </si>
  <si>
    <t xml:space="preserve">    &lt;description&gt;, energy used</t>
  </si>
  <si>
    <t>Total energy cost</t>
  </si>
  <si>
    <r>
      <rPr>
        <sz val="11"/>
        <color rgb="FF0066FF"/>
        <rFont val="Aptos Narrow"/>
        <family val="2"/>
        <scheme val="minor"/>
      </rPr>
      <t>(233a)</t>
    </r>
    <r>
      <rPr>
        <sz val="11"/>
        <color theme="1"/>
        <rFont val="Aptos Narrow"/>
        <family val="2"/>
        <scheme val="minor"/>
      </rPr>
      <t xml:space="preserve"> to </t>
    </r>
    <r>
      <rPr>
        <sz val="11"/>
        <color rgb="FF0066FF"/>
        <rFont val="Aptos Narrow"/>
        <family val="2"/>
        <scheme val="minor"/>
      </rPr>
      <t>(235d)</t>
    </r>
    <r>
      <rPr>
        <sz val="11"/>
        <color theme="1"/>
        <rFont val="Aptos Narrow"/>
        <family val="2"/>
        <scheme val="minor"/>
      </rPr>
      <t xml:space="preserve"> as applicable, repeat line </t>
    </r>
    <r>
      <rPr>
        <sz val="11"/>
        <color rgb="FF0066FF"/>
        <rFont val="Aptos Narrow"/>
        <family val="2"/>
        <scheme val="minor"/>
      </rPr>
      <t>(252)</t>
    </r>
    <r>
      <rPr>
        <sz val="11"/>
        <color theme="1"/>
        <rFont val="Aptos Narrow"/>
        <family val="2"/>
        <scheme val="minor"/>
      </rPr>
      <t xml:space="preserve"> as needed</t>
    </r>
  </si>
  <si>
    <r>
      <t xml:space="preserve">one of </t>
    </r>
    <r>
      <rPr>
        <sz val="11"/>
        <color rgb="FF0066FF"/>
        <rFont val="Aptos Narrow"/>
        <family val="2"/>
        <scheme val="minor"/>
      </rPr>
      <t>(233a)</t>
    </r>
    <r>
      <rPr>
        <sz val="11"/>
        <color theme="1"/>
        <rFont val="Aptos Narrow"/>
        <family val="2"/>
        <scheme val="minor"/>
      </rPr>
      <t xml:space="preserve"> to</t>
    </r>
    <r>
      <rPr>
        <sz val="11"/>
        <color rgb="FF0066FF"/>
        <rFont val="Aptos Narrow"/>
        <family val="2"/>
        <scheme val="minor"/>
      </rPr>
      <t xml:space="preserve"> (235d)</t>
    </r>
  </si>
  <si>
    <r>
      <t xml:space="preserve">repeat lines </t>
    </r>
    <r>
      <rPr>
        <sz val="11"/>
        <color rgb="FF0066FF"/>
        <rFont val="Aptos Narrow"/>
        <family val="2"/>
        <scheme val="minor"/>
      </rPr>
      <t>(253)</t>
    </r>
    <r>
      <rPr>
        <sz val="11"/>
        <color theme="1"/>
        <rFont val="Aptos Narrow"/>
        <family val="2"/>
        <scheme val="minor"/>
      </rPr>
      <t xml:space="preserve"> and </t>
    </r>
    <r>
      <rPr>
        <sz val="11"/>
        <color rgb="FF0066FF"/>
        <rFont val="Aptos Narrow"/>
        <family val="2"/>
        <scheme val="minor"/>
      </rPr>
      <t>(254)</t>
    </r>
    <r>
      <rPr>
        <sz val="11"/>
        <color theme="1"/>
        <rFont val="Aptos Narrow"/>
        <family val="2"/>
        <scheme val="minor"/>
      </rPr>
      <t xml:space="preserve"> as needed</t>
    </r>
  </si>
  <si>
    <r>
      <t xml:space="preserve">one of </t>
    </r>
    <r>
      <rPr>
        <sz val="11"/>
        <color rgb="FF0066FF"/>
        <rFont val="Aptos Narrow"/>
        <family val="2"/>
        <scheme val="minor"/>
      </rPr>
      <t>(236a)</t>
    </r>
    <r>
      <rPr>
        <sz val="11"/>
        <color theme="1"/>
        <rFont val="Aptos Narrow"/>
        <family val="2"/>
        <scheme val="minor"/>
      </rPr>
      <t xml:space="preserve"> etc</t>
    </r>
  </si>
  <si>
    <r>
      <t xml:space="preserve">one of </t>
    </r>
    <r>
      <rPr>
        <sz val="11"/>
        <color rgb="FF0066FF"/>
        <rFont val="Aptos Narrow"/>
        <family val="2"/>
        <scheme val="minor"/>
      </rPr>
      <t>(237a)</t>
    </r>
    <r>
      <rPr>
        <sz val="11"/>
        <color theme="1"/>
        <rFont val="Aptos Narrow"/>
        <family val="2"/>
        <scheme val="minor"/>
      </rPr>
      <t xml:space="preserve"> etc</t>
    </r>
  </si>
  <si>
    <r>
      <rPr>
        <sz val="11"/>
        <color rgb="FF0066FF"/>
        <rFont val="Aptos Narrow"/>
        <family val="2"/>
        <scheme val="minor"/>
      </rPr>
      <t>(240)</t>
    </r>
    <r>
      <rPr>
        <sz val="11"/>
        <color theme="1"/>
        <rFont val="Aptos Narrow"/>
        <family val="2"/>
        <scheme val="minor"/>
      </rPr>
      <t>...</t>
    </r>
    <r>
      <rPr>
        <sz val="11"/>
        <color rgb="FF0066FF"/>
        <rFont val="Aptos Narrow"/>
        <family val="2"/>
        <scheme val="minor"/>
      </rPr>
      <t>(242)</t>
    </r>
    <r>
      <rPr>
        <sz val="11"/>
        <color theme="1"/>
        <rFont val="Aptos Narrow"/>
        <family val="2"/>
        <scheme val="minor"/>
      </rPr>
      <t xml:space="preserve"> + </t>
    </r>
    <r>
      <rPr>
        <sz val="11"/>
        <color rgb="FF0066FF"/>
        <rFont val="Aptos Narrow"/>
        <family val="2"/>
        <scheme val="minor"/>
      </rPr>
      <t>(245)</t>
    </r>
    <r>
      <rPr>
        <sz val="11"/>
        <color theme="1"/>
        <rFont val="Aptos Narrow"/>
        <family val="2"/>
        <scheme val="minor"/>
      </rPr>
      <t>…</t>
    </r>
    <r>
      <rPr>
        <sz val="11"/>
        <color rgb="FF0066FF"/>
        <rFont val="Aptos Narrow"/>
        <family val="2"/>
        <scheme val="minor"/>
      </rPr>
      <t>(254)</t>
    </r>
    <r>
      <rPr>
        <sz val="11"/>
        <color theme="1"/>
        <rFont val="Aptos Narrow"/>
        <family val="2"/>
        <scheme val="minor"/>
      </rPr>
      <t xml:space="preserve"> = </t>
    </r>
  </si>
  <si>
    <t>(247a)</t>
  </si>
  <si>
    <t>(248)</t>
  </si>
  <si>
    <t>(249)</t>
  </si>
  <si>
    <t>(250)</t>
  </si>
  <si>
    <t>(251)</t>
  </si>
  <si>
    <t>(252)</t>
  </si>
  <si>
    <t>(253)</t>
  </si>
  <si>
    <t>(254)</t>
  </si>
  <si>
    <t>(255)</t>
  </si>
  <si>
    <t>11a. SAP rating – Individual heating systems including micro-CHP</t>
  </si>
  <si>
    <t>Energy cost deflator (Table 12):</t>
  </si>
  <si>
    <t>Energy cost factor (ECF)</t>
  </si>
  <si>
    <t>SAP rating (Section 13)</t>
  </si>
  <si>
    <t>SAP band</t>
  </si>
  <si>
    <r>
      <t>[</t>
    </r>
    <r>
      <rPr>
        <sz val="11"/>
        <color rgb="FF0066FF"/>
        <rFont val="Aptos Narrow"/>
        <family val="2"/>
        <scheme val="minor"/>
      </rPr>
      <t>(255)</t>
    </r>
    <r>
      <rPr>
        <sz val="11"/>
        <color theme="1"/>
        <rFont val="Aptos Narrow"/>
        <family val="2"/>
        <scheme val="minor"/>
      </rPr>
      <t xml:space="preserve"> </t>
    </r>
    <r>
      <rPr>
        <sz val="11"/>
        <color theme="1"/>
        <rFont val="Aptos Narrow"/>
        <family val="2"/>
      </rPr>
      <t>×</t>
    </r>
    <r>
      <rPr>
        <sz val="11"/>
        <color theme="1"/>
        <rFont val="Aptos Narrow"/>
        <family val="2"/>
        <scheme val="minor"/>
      </rPr>
      <t xml:space="preserve"> </t>
    </r>
    <r>
      <rPr>
        <sz val="11"/>
        <color rgb="FF0066FF"/>
        <rFont val="Aptos Narrow"/>
        <family val="2"/>
        <scheme val="minor"/>
      </rPr>
      <t>(256)</t>
    </r>
    <r>
      <rPr>
        <sz val="11"/>
        <color theme="1"/>
        <rFont val="Aptos Narrow"/>
        <family val="2"/>
        <scheme val="minor"/>
      </rPr>
      <t>] ÷ [</t>
    </r>
    <r>
      <rPr>
        <sz val="11"/>
        <color rgb="FF0066FF"/>
        <rFont val="Aptos Narrow"/>
        <family val="2"/>
        <scheme val="minor"/>
      </rPr>
      <t>(4)</t>
    </r>
    <r>
      <rPr>
        <sz val="11"/>
        <color theme="1"/>
        <rFont val="Aptos Narrow"/>
        <family val="2"/>
        <scheme val="minor"/>
      </rPr>
      <t xml:space="preserve"> + 45.0] = </t>
    </r>
  </si>
  <si>
    <t>(256)</t>
  </si>
  <si>
    <t>(257)</t>
  </si>
  <si>
    <t>(258)</t>
  </si>
  <si>
    <t>12a. CO2 emissions – Individual heating systems including micro-CHP</t>
  </si>
  <si>
    <t>Space heating - main system 1</t>
  </si>
  <si>
    <t>Energy</t>
  </si>
  <si>
    <r>
      <t>kWh/year</t>
    </r>
    <r>
      <rPr>
        <vertAlign val="superscript"/>
        <sz val="11"/>
        <color theme="1"/>
        <rFont val="Aptos Narrow"/>
        <family val="2"/>
        <scheme val="minor"/>
      </rPr>
      <t>(a)</t>
    </r>
  </si>
  <si>
    <t>(261)</t>
  </si>
  <si>
    <t>Emission factor</t>
  </si>
  <si>
    <t>Emissions</t>
  </si>
  <si>
    <r>
      <t>kg CO</t>
    </r>
    <r>
      <rPr>
        <vertAlign val="subscript"/>
        <sz val="11"/>
        <color theme="1"/>
        <rFont val="Aptos Narrow"/>
        <family val="2"/>
        <scheme val="minor"/>
      </rPr>
      <t>2</t>
    </r>
    <r>
      <rPr>
        <sz val="11"/>
        <color theme="1"/>
        <rFont val="Aptos Narrow"/>
        <family val="2"/>
        <scheme val="minor"/>
      </rPr>
      <t>/year</t>
    </r>
  </si>
  <si>
    <r>
      <t>kg CO</t>
    </r>
    <r>
      <rPr>
        <vertAlign val="subscript"/>
        <sz val="11"/>
        <color theme="1"/>
        <rFont val="Aptos Narrow"/>
        <family val="2"/>
        <scheme val="minor"/>
      </rPr>
      <t>2</t>
    </r>
    <r>
      <rPr>
        <sz val="11"/>
        <color theme="1"/>
        <rFont val="Aptos Narrow"/>
        <family val="2"/>
        <scheme val="minor"/>
      </rPr>
      <t>/kWh</t>
    </r>
    <r>
      <rPr>
        <vertAlign val="superscript"/>
        <sz val="11"/>
        <color theme="1"/>
        <rFont val="Aptos Narrow"/>
        <family val="2"/>
        <scheme val="minor"/>
      </rPr>
      <t>(b)</t>
    </r>
  </si>
  <si>
    <t>Space heating - main system 2</t>
  </si>
  <si>
    <t>Space heating - secondary</t>
  </si>
  <si>
    <t>Energy for water heating</t>
  </si>
  <si>
    <t>Space and water heating</t>
  </si>
  <si>
    <r>
      <t xml:space="preserve">(for a DHW-only heat network use </t>
    </r>
    <r>
      <rPr>
        <i/>
        <sz val="11"/>
        <color rgb="FF0066FF"/>
        <rFont val="Aptos Narrow"/>
        <family val="2"/>
        <scheme val="minor"/>
      </rPr>
      <t>(361)</t>
    </r>
    <r>
      <rPr>
        <i/>
        <sz val="11"/>
        <color theme="1"/>
        <rFont val="Aptos Narrow"/>
        <family val="2"/>
        <scheme val="minor"/>
      </rPr>
      <t xml:space="preserve"> to </t>
    </r>
    <r>
      <rPr>
        <i/>
        <sz val="11"/>
        <color rgb="FF0066FF"/>
        <rFont val="Aptos Narrow"/>
        <family val="2"/>
        <scheme val="minor"/>
      </rPr>
      <t>(373)</t>
    </r>
    <r>
      <rPr>
        <i/>
        <sz val="11"/>
        <color theme="1"/>
        <rFont val="Aptos Narrow"/>
        <family val="2"/>
        <scheme val="minor"/>
      </rPr>
      <t xml:space="preserve"> instead of </t>
    </r>
    <r>
      <rPr>
        <i/>
        <sz val="11"/>
        <color rgb="FF0066FF"/>
        <rFont val="Aptos Narrow"/>
        <family val="2"/>
        <scheme val="minor"/>
      </rPr>
      <t>(264)</t>
    </r>
  </si>
  <si>
    <t>(262)</t>
  </si>
  <si>
    <t>(263)</t>
  </si>
  <si>
    <t>(264)</t>
  </si>
  <si>
    <t>(264a)</t>
  </si>
  <si>
    <t>(265)</t>
  </si>
  <si>
    <r>
      <rPr>
        <sz val="11"/>
        <color rgb="FF0066FF"/>
        <rFont val="Aptos Narrow"/>
        <family val="2"/>
        <scheme val="minor"/>
      </rPr>
      <t>(261)</t>
    </r>
    <r>
      <rPr>
        <sz val="11"/>
        <color theme="1"/>
        <rFont val="Aptos Narrow"/>
        <family val="2"/>
        <scheme val="minor"/>
      </rPr>
      <t xml:space="preserve"> + </t>
    </r>
    <r>
      <rPr>
        <sz val="11"/>
        <color rgb="FF0066FF"/>
        <rFont val="Aptos Narrow"/>
        <family val="2"/>
        <scheme val="minor"/>
      </rPr>
      <t>(262)</t>
    </r>
    <r>
      <rPr>
        <sz val="11"/>
        <color theme="1"/>
        <rFont val="Aptos Narrow"/>
        <family val="2"/>
        <scheme val="minor"/>
      </rPr>
      <t xml:space="preserve"> + </t>
    </r>
    <r>
      <rPr>
        <sz val="11"/>
        <color rgb="FF0066FF"/>
        <rFont val="Aptos Narrow"/>
        <family val="2"/>
        <scheme val="minor"/>
      </rPr>
      <t>(263)</t>
    </r>
    <r>
      <rPr>
        <sz val="11"/>
        <color theme="1"/>
        <rFont val="Aptos Narrow"/>
        <family val="2"/>
        <scheme val="minor"/>
      </rPr>
      <t xml:space="preserve"> + </t>
    </r>
    <r>
      <rPr>
        <sz val="11"/>
        <color rgb="FF0066FF"/>
        <rFont val="Aptos Narrow"/>
        <family val="2"/>
        <scheme val="minor"/>
      </rPr>
      <t>(264)</t>
    </r>
    <r>
      <rPr>
        <sz val="11"/>
        <color theme="1"/>
        <rFont val="Aptos Narrow"/>
        <family val="2"/>
        <scheme val="minor"/>
      </rPr>
      <t xml:space="preserve"> + </t>
    </r>
    <r>
      <rPr>
        <sz val="11"/>
        <color rgb="FF0066FF"/>
        <rFont val="Aptos Narrow"/>
        <family val="2"/>
        <scheme val="minor"/>
      </rPr>
      <t>(264a)</t>
    </r>
  </si>
  <si>
    <t>Electricity for pumps, fans and electric keep-hot</t>
  </si>
  <si>
    <t>Electricity for lighting</t>
  </si>
  <si>
    <t>Appendix Q items</t>
  </si>
  <si>
    <t xml:space="preserve">    &lt;description&gt;, energy saved *</t>
  </si>
  <si>
    <t xml:space="preserve">    &lt;description&gt;, energy used *</t>
  </si>
  <si>
    <r>
      <t>Total CO</t>
    </r>
    <r>
      <rPr>
        <vertAlign val="subscript"/>
        <sz val="11"/>
        <color theme="1"/>
        <rFont val="Aptos Narrow"/>
        <family val="2"/>
        <scheme val="minor"/>
      </rPr>
      <t>2</t>
    </r>
    <r>
      <rPr>
        <sz val="11"/>
        <color theme="1"/>
        <rFont val="Aptos Narrow"/>
        <family val="2"/>
        <scheme val="minor"/>
      </rPr>
      <t>, kg/year</t>
    </r>
  </si>
  <si>
    <r>
      <t>Dwelling CO</t>
    </r>
    <r>
      <rPr>
        <b/>
        <vertAlign val="subscript"/>
        <sz val="11"/>
        <color theme="1"/>
        <rFont val="Aptos Narrow"/>
        <family val="2"/>
        <scheme val="minor"/>
      </rPr>
      <t>2</t>
    </r>
    <r>
      <rPr>
        <b/>
        <sz val="11"/>
        <color theme="1"/>
        <rFont val="Aptos Narrow"/>
        <family val="2"/>
        <scheme val="minor"/>
      </rPr>
      <t xml:space="preserve"> Emission Rate</t>
    </r>
  </si>
  <si>
    <t>EI rating (section 14)</t>
  </si>
  <si>
    <t>(a) If the fuel used/saved/generated is electricity, use monthly values with factors from Table 12d.</t>
  </si>
  <si>
    <t>(b) If the fuel used/saved/generated is electricity and an off-peak tariff is used, split into on/off</t>
  </si>
  <si>
    <t>peak fraction (as for fuel cost calculation) and use applicable on/off-peak factor from Table 12d.</t>
  </si>
  <si>
    <t>(266)</t>
  </si>
  <si>
    <t>(267)</t>
  </si>
  <si>
    <t>(268)</t>
  </si>
  <si>
    <t>(233a) to (235d) as applicable, repeat line (269) as needed</t>
  </si>
  <si>
    <t>(269)</t>
  </si>
  <si>
    <r>
      <t xml:space="preserve">one of </t>
    </r>
    <r>
      <rPr>
        <sz val="11"/>
        <color rgb="FF0066FF"/>
        <rFont val="Aptos Narrow"/>
        <family val="2"/>
        <scheme val="minor"/>
      </rPr>
      <t>(233a)</t>
    </r>
    <r>
      <rPr>
        <sz val="11"/>
        <color theme="1"/>
        <rFont val="Aptos Narrow"/>
        <family val="2"/>
        <scheme val="minor"/>
      </rPr>
      <t xml:space="preserve"> to </t>
    </r>
    <r>
      <rPr>
        <sz val="11"/>
        <color rgb="FF0066FF"/>
        <rFont val="Aptos Narrow"/>
        <family val="2"/>
        <scheme val="minor"/>
      </rPr>
      <t>(235d)</t>
    </r>
  </si>
  <si>
    <t>repeat lines (270) and (271) as needed</t>
  </si>
  <si>
    <t>(270)</t>
  </si>
  <si>
    <t>(271)</t>
  </si>
  <si>
    <t>(272)</t>
  </si>
  <si>
    <t>(273)</t>
  </si>
  <si>
    <t>(274)</t>
  </si>
  <si>
    <r>
      <t xml:space="preserve">sum of </t>
    </r>
    <r>
      <rPr>
        <sz val="11"/>
        <color rgb="FF0066FF"/>
        <rFont val="Aptos Narrow"/>
        <family val="2"/>
        <scheme val="minor"/>
      </rPr>
      <t>(265)</t>
    </r>
    <r>
      <rPr>
        <sz val="11"/>
        <color theme="1"/>
        <rFont val="Aptos Narrow"/>
        <family val="2"/>
        <scheme val="minor"/>
      </rPr>
      <t>…</t>
    </r>
    <r>
      <rPr>
        <sz val="11"/>
        <color rgb="FF0066FF"/>
        <rFont val="Aptos Narrow"/>
        <family val="2"/>
        <scheme val="minor"/>
      </rPr>
      <t>(271)</t>
    </r>
  </si>
  <si>
    <r>
      <rPr>
        <sz val="11"/>
        <color rgb="FF0066FF"/>
        <rFont val="Aptos Narrow"/>
        <family val="2"/>
        <scheme val="minor"/>
      </rPr>
      <t>(272)</t>
    </r>
    <r>
      <rPr>
        <sz val="11"/>
        <color theme="1"/>
        <rFont val="Aptos Narrow"/>
        <family val="2"/>
        <scheme val="minor"/>
      </rPr>
      <t xml:space="preserve"> ÷ </t>
    </r>
    <r>
      <rPr>
        <sz val="11"/>
        <color rgb="FF0066FF"/>
        <rFont val="Aptos Narrow"/>
        <family val="2"/>
        <scheme val="minor"/>
      </rPr>
      <t>(4)</t>
    </r>
  </si>
  <si>
    <r>
      <t xml:space="preserve">    * where the item is concerned only with CO</t>
    </r>
    <r>
      <rPr>
        <vertAlign val="subscript"/>
        <sz val="11"/>
        <color rgb="FF0066FF"/>
        <rFont val="Aptos Narrow"/>
        <family val="2"/>
        <scheme val="minor"/>
      </rPr>
      <t>2</t>
    </r>
    <r>
      <rPr>
        <sz val="11"/>
        <color rgb="FF0066FF"/>
        <rFont val="Aptos Narrow"/>
        <family val="2"/>
        <scheme val="minor"/>
      </rPr>
      <t xml:space="preserve"> emissions use the right-hand column only.</t>
    </r>
  </si>
  <si>
    <t>13a. Primary Energy – Individual heating systems including micro-CHP</t>
  </si>
  <si>
    <t>PE factor</t>
  </si>
  <si>
    <r>
      <t>kWh/kWh</t>
    </r>
    <r>
      <rPr>
        <vertAlign val="superscript"/>
        <sz val="11"/>
        <color theme="1"/>
        <rFont val="Aptos Narrow"/>
        <family val="2"/>
        <scheme val="minor"/>
      </rPr>
      <t>(b)</t>
    </r>
  </si>
  <si>
    <t>Primary Energy</t>
  </si>
  <si>
    <t>(275)</t>
  </si>
  <si>
    <t>(276)</t>
  </si>
  <si>
    <t>(277)</t>
  </si>
  <si>
    <t>(278)</t>
  </si>
  <si>
    <t>(278a)</t>
  </si>
  <si>
    <r>
      <rPr>
        <sz val="11"/>
        <color rgb="FF0066FF"/>
        <rFont val="Aptos Narrow"/>
        <family val="2"/>
        <scheme val="minor"/>
      </rPr>
      <t>(275)</t>
    </r>
    <r>
      <rPr>
        <sz val="11"/>
        <color theme="1"/>
        <rFont val="Aptos Narrow"/>
        <family val="2"/>
        <scheme val="minor"/>
      </rPr>
      <t xml:space="preserve"> + </t>
    </r>
    <r>
      <rPr>
        <sz val="11"/>
        <color rgb="FF0066FF"/>
        <rFont val="Aptos Narrow"/>
        <family val="2"/>
        <scheme val="minor"/>
      </rPr>
      <t>(276)</t>
    </r>
    <r>
      <rPr>
        <sz val="11"/>
        <color theme="1"/>
        <rFont val="Aptos Narrow"/>
        <family val="2"/>
        <scheme val="minor"/>
      </rPr>
      <t xml:space="preserve"> + </t>
    </r>
    <r>
      <rPr>
        <sz val="11"/>
        <color rgb="FF0066FF"/>
        <rFont val="Aptos Narrow"/>
        <family val="2"/>
        <scheme val="minor"/>
      </rPr>
      <t>(277)</t>
    </r>
    <r>
      <rPr>
        <sz val="11"/>
        <color theme="1"/>
        <rFont val="Aptos Narrow"/>
        <family val="2"/>
        <scheme val="minor"/>
      </rPr>
      <t xml:space="preserve"> + </t>
    </r>
    <r>
      <rPr>
        <sz val="11"/>
        <color rgb="FF0066FF"/>
        <rFont val="Aptos Narrow"/>
        <family val="2"/>
        <scheme val="minor"/>
      </rPr>
      <t>(278)</t>
    </r>
    <r>
      <rPr>
        <sz val="11"/>
        <color theme="1"/>
        <rFont val="Aptos Narrow"/>
        <family val="2"/>
        <scheme val="minor"/>
      </rPr>
      <t xml:space="preserve"> + </t>
    </r>
    <r>
      <rPr>
        <sz val="11"/>
        <color rgb="FF0066FF"/>
        <rFont val="Aptos Narrow"/>
        <family val="2"/>
        <scheme val="minor"/>
      </rPr>
      <t>(278a)</t>
    </r>
  </si>
  <si>
    <t>(279)</t>
  </si>
  <si>
    <t>(280)</t>
  </si>
  <si>
    <t>(281)</t>
  </si>
  <si>
    <t>(282)</t>
  </si>
  <si>
    <t>(283)</t>
  </si>
  <si>
    <t>(284)</t>
  </si>
  <si>
    <t>(285)</t>
  </si>
  <si>
    <t>(286)</t>
  </si>
  <si>
    <t>(287)</t>
  </si>
  <si>
    <r>
      <rPr>
        <sz val="11"/>
        <color rgb="FF0066FF"/>
        <rFont val="Aptos Narrow"/>
        <family val="2"/>
        <scheme val="minor"/>
      </rPr>
      <t>(286)</t>
    </r>
    <r>
      <rPr>
        <sz val="11"/>
        <color theme="1"/>
        <rFont val="Aptos Narrow"/>
        <family val="2"/>
        <scheme val="minor"/>
      </rPr>
      <t xml:space="preserve"> ÷ </t>
    </r>
    <r>
      <rPr>
        <sz val="11"/>
        <color rgb="FF0066FF"/>
        <rFont val="Aptos Narrow"/>
        <family val="2"/>
        <scheme val="minor"/>
      </rPr>
      <t>(4)</t>
    </r>
  </si>
  <si>
    <r>
      <t xml:space="preserve">sum of </t>
    </r>
    <r>
      <rPr>
        <sz val="11"/>
        <color rgb="FF0066FF"/>
        <rFont val="Aptos Narrow"/>
        <family val="2"/>
        <scheme val="minor"/>
      </rPr>
      <t>(279)</t>
    </r>
    <r>
      <rPr>
        <sz val="11"/>
        <color theme="1"/>
        <rFont val="Aptos Narrow"/>
        <family val="2"/>
        <scheme val="minor"/>
      </rPr>
      <t>…</t>
    </r>
    <r>
      <rPr>
        <sz val="11"/>
        <color rgb="FF0066FF"/>
        <rFont val="Aptos Narrow"/>
        <family val="2"/>
        <scheme val="minor"/>
      </rPr>
      <t>(285)</t>
    </r>
  </si>
  <si>
    <t>repeat lines (284) and (285) as needed</t>
  </si>
  <si>
    <t>Total PE, kWh/year</t>
  </si>
  <si>
    <t>Dwelling PE Rate</t>
  </si>
  <si>
    <t>(a) If the fuel used/saved/generated is electricity, use monthly values with factors from Table 12e.</t>
  </si>
  <si>
    <t>peak fraction (as for fuel cost calculation) and use applicable on/off-peak factor from Table 12e.</t>
  </si>
  <si>
    <r>
      <t xml:space="preserve">A </t>
    </r>
    <r>
      <rPr>
        <sz val="11"/>
        <color theme="1"/>
        <rFont val="Aptos Narrow"/>
        <family val="2"/>
      </rPr>
      <t>× U</t>
    </r>
  </si>
  <si>
    <t>(52)</t>
  </si>
  <si>
    <t>South</t>
  </si>
  <si>
    <t>(109)</t>
  </si>
  <si>
    <t>xmlns="https://epbr.digital.communities.gov.uk/xsd/sap"</t>
  </si>
  <si>
    <t>SAP10_Inputs</t>
  </si>
  <si>
    <t>Calculation method</t>
  </si>
  <si>
    <t>Energy rating</t>
  </si>
  <si>
    <t>New dwelling as designed - dwelling emissions</t>
  </si>
  <si>
    <t>Year</t>
  </si>
  <si>
    <t>Month (1 to 12)</t>
  </si>
  <si>
    <t>EPC costs, emissions and primary energy</t>
  </si>
  <si>
    <t>Day</t>
  </si>
  <si>
    <t>--- OPENING XML TAG ---</t>
  </si>
  <si>
    <t>--- XPATH ---</t>
  </si>
  <si>
    <t>--- XML ATTRIBUTES---</t>
  </si>
  <si>
    <t>Input Data</t>
  </si>
  <si>
    <t>--- CLOSING XML TAG ---</t>
  </si>
  <si>
    <t>Variable Description</t>
  </si>
  <si>
    <t>The SAP10 Excel Workbook</t>
  </si>
  <si>
    <t>Introduction</t>
  </si>
  <si>
    <t>This workbook runs Standard Assessment Procedure (SAP) 10.2 calculations.</t>
  </si>
  <si>
    <t>SAP 10 is the Standard Assessment Procedure version 10, the UK Government's energy calculation method for building regulations and Energy Performance Certificates for new and existing dwellings.</t>
  </si>
  <si>
    <t>Quick Start</t>
  </si>
  <si>
    <t>Congratulations, you just ran a SAP10 calculation.</t>
  </si>
  <si>
    <t>How does this work?</t>
  </si>
  <si>
    <r>
      <t xml:space="preserve">You can see the results in the </t>
    </r>
    <r>
      <rPr>
        <b/>
        <sz val="11"/>
        <color theme="1"/>
        <rFont val="Aptos Narrow"/>
        <family val="2"/>
        <scheme val="minor"/>
      </rPr>
      <t>"SAP10_Results"</t>
    </r>
    <r>
      <rPr>
        <sz val="11"/>
        <color theme="1"/>
        <rFont val="Aptos Narrow"/>
        <family val="2"/>
        <scheme val="minor"/>
      </rPr>
      <t xml:space="preserve"> worksheet.</t>
    </r>
  </si>
  <si>
    <t>SAP10 is a complex process with lots of edge cases, so it is very likely things will go wrong at times.</t>
  </si>
  <si>
    <t>https://bregroup.com/expertise/energy/sap/sap10</t>
  </si>
  <si>
    <t>SAP 10 is developed and published by the Building Research Establishment:</t>
  </si>
  <si>
    <t>Further information</t>
  </si>
  <si>
    <t>Please see:</t>
  </si>
  <si>
    <t>https://www.stevenfirth.com/tag/sap10/</t>
  </si>
  <si>
    <t>https://netzeroapis.com/redoc#tag/calc-APIs/operation/sap10_calc_sap10_post</t>
  </si>
  <si>
    <t>https://netzeroapis.com/</t>
  </si>
  <si>
    <t>Terms and Conditions</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</si>
  <si>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</si>
  <si>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https://opensource.org/license/mit</t>
  </si>
  <si>
    <t>Contact</t>
  </si>
  <si>
    <t>Author: Steven Firth</t>
  </si>
  <si>
    <t>s.k.firth@lboro.ac.uk</t>
  </si>
  <si>
    <t>https://www.stevenfirth.com/</t>
  </si>
  <si>
    <t>FAQs</t>
  </si>
  <si>
    <t>https://github.com/communitiesuk/epb-register-api/tree/master/api/schemas/xml/SAP-Schema-19.1.0/SAP</t>
  </si>
  <si>
    <r>
      <t xml:space="preserve">Use the </t>
    </r>
    <r>
      <rPr>
        <b/>
        <sz val="11"/>
        <color theme="1"/>
        <rFont val="Aptos Narrow"/>
        <family val="2"/>
        <scheme val="minor"/>
      </rPr>
      <t>"Load SAP XML file"</t>
    </r>
    <r>
      <rPr>
        <sz val="11"/>
        <color theme="1"/>
        <rFont val="Aptos Narrow"/>
        <family val="2"/>
        <scheme val="minor"/>
      </rPr>
      <t xml:space="preserve"> option in the right-click menu to upload a new SAP XML file into the </t>
    </r>
    <r>
      <rPr>
        <b/>
        <sz val="11"/>
        <color theme="1"/>
        <rFont val="Aptos Narrow"/>
        <family val="2"/>
        <scheme val="minor"/>
      </rPr>
      <t>"SAP10_Inputs"</t>
    </r>
    <r>
      <rPr>
        <sz val="11"/>
        <color theme="1"/>
        <rFont val="Aptos Narrow"/>
        <family val="2"/>
        <scheme val="minor"/>
      </rPr>
      <t xml:space="preserve"> worksheet.</t>
    </r>
  </si>
  <si>
    <r>
      <t xml:space="preserve">The </t>
    </r>
    <r>
      <rPr>
        <b/>
        <sz val="11"/>
        <color theme="1"/>
        <rFont val="Aptos Narrow"/>
        <family val="2"/>
        <scheme val="minor"/>
      </rPr>
      <t>"SAP10_Inputs"</t>
    </r>
    <r>
      <rPr>
        <sz val="11"/>
        <color theme="1"/>
        <rFont val="Aptos Narrow"/>
        <family val="2"/>
        <scheme val="minor"/>
      </rPr>
      <t xml:space="preserve"> worksheet is dynamic and can change based on the XML it is representing.</t>
    </r>
  </si>
  <si>
    <t>What to do when it goes wrong?</t>
  </si>
  <si>
    <t>If this happens, please contact the author Steven Firth at s.k.firth@lboro.ac.uk.</t>
  </si>
  <si>
    <t>Are there any more details about the SAP calculation itself?</t>
  </si>
  <si>
    <t>Yes, please see the details at:</t>
  </si>
  <si>
    <t>For more information see:</t>
  </si>
  <si>
    <t>https://netzeroapis.com/redoc#section/Authorization</t>
  </si>
  <si>
    <r>
      <t xml:space="preserve">If you have an API authorization token for </t>
    </r>
    <r>
      <rPr>
        <i/>
        <sz val="11"/>
        <color theme="1"/>
        <rFont val="Aptos Narrow"/>
        <family val="2"/>
        <scheme val="minor"/>
      </rPr>
      <t>netzeroapis.com</t>
    </r>
    <r>
      <rPr>
        <sz val="11"/>
        <color theme="1"/>
        <rFont val="Aptos Narrow"/>
        <family val="2"/>
        <scheme val="minor"/>
      </rPr>
      <t>, this can be entered here.</t>
    </r>
  </si>
  <si>
    <t>Why does the SAP calculation take so long to run?</t>
  </si>
  <si>
    <t>The SAP calculation itself is fast with the API returning the results in a fraction of a second.</t>
  </si>
  <si>
    <r>
      <t xml:space="preserve">However it takes a second or two to load the results into the cells of the </t>
    </r>
    <r>
      <rPr>
        <b/>
        <sz val="11"/>
        <color theme="1"/>
        <rFont val="Aptos Narrow"/>
        <family val="2"/>
        <scheme val="minor"/>
      </rPr>
      <t>"SAP10_Results"</t>
    </r>
    <r>
      <rPr>
        <sz val="11"/>
        <color theme="1"/>
        <rFont val="Aptos Narrow"/>
        <family val="2"/>
        <scheme val="minor"/>
      </rPr>
      <t xml:space="preserve"> worksheet.</t>
    </r>
  </si>
  <si>
    <t>What is the "XMLSchema_Info" worksheet?</t>
  </si>
  <si>
    <r>
      <t xml:space="preserve">This is for internal use only, when loading a SAP XML file in the </t>
    </r>
    <r>
      <rPr>
        <b/>
        <sz val="11"/>
        <color theme="1"/>
        <rFont val="Aptos Narrow"/>
        <family val="2"/>
        <scheme val="minor"/>
      </rPr>
      <t>"SAP10_Inputs"</t>
    </r>
    <r>
      <rPr>
        <sz val="11"/>
        <color theme="1"/>
        <rFont val="Aptos Narrow"/>
        <family val="2"/>
        <scheme val="minor"/>
      </rPr>
      <t xml:space="preserve"> worksheet.</t>
    </r>
  </si>
  <si>
    <r>
      <t>This contains information which has been extracted from the</t>
    </r>
    <r>
      <rPr>
        <i/>
        <sz val="11"/>
        <color theme="1"/>
        <rFont val="Aptos Narrow"/>
        <family val="2"/>
        <scheme val="minor"/>
      </rPr>
      <t xml:space="preserve"> SAP-Schema-19.1.0</t>
    </r>
    <r>
      <rPr>
        <sz val="11"/>
        <color theme="1"/>
        <rFont val="Aptos Narrow"/>
        <family val="2"/>
        <scheme val="minor"/>
      </rPr>
      <t xml:space="preserve"> XML schema files.</t>
    </r>
  </si>
  <si>
    <t>This Excel workbook uses the SAP 10 API calculation provided at www.netzeroapis.com</t>
  </si>
  <si>
    <r>
      <t xml:space="preserve">The format of the </t>
    </r>
    <r>
      <rPr>
        <b/>
        <sz val="11"/>
        <color theme="1"/>
        <rFont val="Aptos Narrow"/>
        <family val="2"/>
        <scheme val="minor"/>
      </rPr>
      <t>"SAP10_Inputs"</t>
    </r>
    <r>
      <rPr>
        <sz val="11"/>
        <color theme="1"/>
        <rFont val="Aptos Narrow"/>
        <family val="2"/>
        <scheme val="minor"/>
      </rPr>
      <t xml:space="preserve"> worksheet is based on the SAP XML input format. The link to the official SAP10 XML schema is:</t>
    </r>
  </si>
  <si>
    <t>What is the input format?</t>
  </si>
  <si>
    <r>
      <t xml:space="preserve">3. The values in the </t>
    </r>
    <r>
      <rPr>
        <b/>
        <sz val="11"/>
        <color theme="1"/>
        <rFont val="Aptos Narrow"/>
        <family val="2"/>
        <scheme val="minor"/>
      </rPr>
      <t>"SAP10_Inputs"</t>
    </r>
    <r>
      <rPr>
        <sz val="11"/>
        <color theme="1"/>
        <rFont val="Aptos Narrow"/>
        <family val="2"/>
        <scheme val="minor"/>
      </rPr>
      <t xml:space="preserve"> worksheet are read.</t>
    </r>
  </si>
  <si>
    <r>
      <t xml:space="preserve">4. These model inputs are sent to the online SAP10 API at </t>
    </r>
    <r>
      <rPr>
        <i/>
        <sz val="11"/>
        <color theme="1"/>
        <rFont val="Aptos Narrow"/>
        <family val="2"/>
        <scheme val="minor"/>
      </rPr>
      <t>netzeroapis.com</t>
    </r>
    <r>
      <rPr>
        <sz val="11"/>
        <color theme="1"/>
        <rFont val="Aptos Narrow"/>
        <family val="2"/>
        <scheme val="minor"/>
      </rPr>
      <t>.</t>
    </r>
  </si>
  <si>
    <r>
      <t xml:space="preserve">6. The results are placed in the </t>
    </r>
    <r>
      <rPr>
        <b/>
        <sz val="11"/>
        <color theme="1"/>
        <rFont val="Aptos Narrow"/>
        <family val="2"/>
        <scheme val="minor"/>
      </rPr>
      <t>"SAP10_Results"</t>
    </r>
    <r>
      <rPr>
        <sz val="11"/>
        <color theme="1"/>
        <rFont val="Aptos Narrow"/>
        <family val="2"/>
        <scheme val="minor"/>
      </rPr>
      <t xml:space="preserve"> worksheet.</t>
    </r>
  </si>
  <si>
    <r>
      <t xml:space="preserve">1. The user edits the input values in the </t>
    </r>
    <r>
      <rPr>
        <b/>
        <sz val="11"/>
        <color theme="1"/>
        <rFont val="Aptos Narrow"/>
        <family val="2"/>
        <scheme val="minor"/>
      </rPr>
      <t>"SAP10_Inputs"</t>
    </r>
    <r>
      <rPr>
        <sz val="11"/>
        <color theme="1"/>
        <rFont val="Aptos Narrow"/>
        <family val="2"/>
        <scheme val="minor"/>
      </rPr>
      <t xml:space="preserve"> worksheet.</t>
    </r>
  </si>
  <si>
    <r>
      <t xml:space="preserve">2. The user runs a SAP 10 calculation (right click then </t>
    </r>
    <r>
      <rPr>
        <b/>
        <sz val="11"/>
        <color theme="1"/>
        <rFont val="Aptos Narrow"/>
        <family val="2"/>
        <scheme val="minor"/>
      </rPr>
      <t>"Run SAP10 calcuation"</t>
    </r>
    <r>
      <rPr>
        <sz val="11"/>
        <color theme="1"/>
        <rFont val="Aptos Narrow"/>
        <family val="2"/>
        <scheme val="minor"/>
      </rPr>
      <t>)</t>
    </r>
  </si>
  <si>
    <t>5. The SAP10 API runs the calculation and returns the results.</t>
  </si>
  <si>
    <t>Please contact me with any questions and feature requests.</t>
  </si>
  <si>
    <t>/SAP-Report[1]</t>
  </si>
  <si>
    <t>Please enter your API authorization token in the cell below:</t>
  </si>
  <si>
    <t>element_name</t>
  </si>
  <si>
    <t>parent_name</t>
  </si>
  <si>
    <t>grandparent_name</t>
  </si>
  <si>
    <r>
      <t xml:space="preserve">Right click anywhere and choose </t>
    </r>
    <r>
      <rPr>
        <b/>
        <sz val="11"/>
        <color rgb="FFFF0000"/>
        <rFont val="Aptos Narrow"/>
        <family val="2"/>
        <scheme val="minor"/>
      </rPr>
      <t>"Run SAP10 calculation"</t>
    </r>
    <r>
      <rPr>
        <sz val="11"/>
        <color rgb="FFFF0000"/>
        <rFont val="Aptos Narrow"/>
        <family val="2"/>
        <scheme val="minor"/>
      </rPr>
      <t xml:space="preserve"> at the bottom of the menu.</t>
    </r>
  </si>
  <si>
    <t>What is the "Authorization" worksheet?</t>
  </si>
  <si>
    <t>Enable Macros in this workbook.</t>
  </si>
  <si>
    <t>&lt;Schema-Version-Original&gt;</t>
  </si>
  <si>
    <t>/SAP-Report[1]/Schema-Version-Original[1]</t>
  </si>
  <si>
    <t>&lt;/Schema-Version-Original&gt;</t>
  </si>
  <si>
    <t>&lt;SAP-Version&gt;</t>
  </si>
  <si>
    <t>&lt;/SAP-Version&gt;</t>
  </si>
  <si>
    <t>&lt;SAP10-Data&gt;</t>
  </si>
  <si>
    <t>&lt;/SAP10-Data&gt;</t>
  </si>
  <si>
    <t>/SAP-Report[1]/SAP-Version[1]</t>
  </si>
  <si>
    <t>/SAP-Report[1]/SAP10-Data[1]</t>
  </si>
  <si>
    <t>&lt;Data-Type&gt;</t>
  </si>
  <si>
    <t>/SAP-Report[1]/SAP10-Data[1]/Data-Type[1]</t>
  </si>
  <si>
    <t>&lt;/Data-Type&gt;</t>
  </si>
  <si>
    <t>&lt;SAP-Property-Details&gt;</t>
  </si>
  <si>
    <t>/SAP-Report[1]/SAP10-Data[1]/SAP-Property-Details[1]</t>
  </si>
  <si>
    <t>&lt;/SAP-Property-Details&gt;</t>
  </si>
  <si>
    <t>&lt;Cold-Water-Source&gt;</t>
  </si>
  <si>
    <t>/SAP-Report[1]/SAP10-Data[1]/SAP-Property-Details[1]/Cold-Water-Source[1]</t>
  </si>
  <si>
    <t>&lt;/Cold-Water-Source&gt;</t>
  </si>
  <si>
    <t>&lt;Living-Area&gt;</t>
  </si>
  <si>
    <t>/SAP-Report[1]/SAP10-Data[1]/SAP-Property-Details[1]/Living-Area[1]</t>
  </si>
  <si>
    <t>&lt;/Living-Area&gt;</t>
  </si>
  <si>
    <t>&lt;Windows-Overshading&gt;</t>
  </si>
  <si>
    <t>/SAP-Report[1]/SAP10-Data[1]/SAP-Property-Details[1]/Windows-Overshading[1]</t>
  </si>
  <si>
    <t>&lt;/Windows-Overshading&gt;</t>
  </si>
  <si>
    <t>&lt;SAP-Building-Parts&gt;</t>
  </si>
  <si>
    <t>/SAP-Report[1]/SAP10-Data[1]/SAP-Property-Details[1]/SAP-Building-Parts[1]</t>
  </si>
  <si>
    <t>&lt;/SAP-Building-Parts&gt;</t>
  </si>
  <si>
    <t>&lt;SAP-Building-Part&gt;</t>
  </si>
  <si>
    <t>/SAP-Report[1]/SAP10-Data[1]/SAP-Property-Details[1]/SAP-Building-Parts[1]/SAP-Building-Part[1]</t>
  </si>
  <si>
    <t>&lt;/SAP-Building-Part&gt;</t>
  </si>
  <si>
    <t>&lt;Building-Part-Number&gt;</t>
  </si>
  <si>
    <t>/SAP-Report[1]/SAP10-Data[1]/SAP-Property-Details[1]/SAP-Building-Parts[1]/SAP-Building-Part[1]/Building-Part-Number[1]</t>
  </si>
  <si>
    <t>&lt;/Building-Part-Number&gt;</t>
  </si>
  <si>
    <t>&lt;SAP-Floor-Dimensions&gt;</t>
  </si>
  <si>
    <t>/SAP-Report[1]/SAP10-Data[1]/SAP-Property-Details[1]/SAP-Building-Parts[1]/SAP-Building-Part[1]/SAP-Floor-Dimensions[1]</t>
  </si>
  <si>
    <t>&lt;/SAP-Floor-Dimensions&gt;</t>
  </si>
  <si>
    <t>&lt;SAP-Floor-Dimension&gt;</t>
  </si>
  <si>
    <t>/SAP-Report[1]/SAP10-Data[1]/SAP-Property-Details[1]/SAP-Building-Parts[1]/SAP-Building-Part[1]/SAP-Floor-Dimensions[1]/SAP-Floor-Dimension[1]</t>
  </si>
  <si>
    <t>&lt;/SAP-Floor-Dimension&gt;</t>
  </si>
  <si>
    <t>&lt;Floor-Type&gt;</t>
  </si>
  <si>
    <t>/SAP-Report[1]/SAP10-Data[1]/SAP-Property-Details[1]/SAP-Building-Parts[1]/SAP-Building-Part[1]/SAP-Floor-Dimensions[1]/SAP-Floor-Dimension[1]/Floor-Type[1]</t>
  </si>
  <si>
    <t>&lt;/Floor-Type&gt;</t>
  </si>
  <si>
    <t>&lt;Storey&gt;</t>
  </si>
  <si>
    <t>/SAP-Report[1]/SAP10-Data[1]/SAP-Property-Details[1]/SAP-Building-Parts[1]/SAP-Building-Part[1]/SAP-Floor-Dimensions[1]/SAP-Floor-Dimension[1]/Storey[1]</t>
  </si>
  <si>
    <t>&lt;/Storey&gt;</t>
  </si>
  <si>
    <t>&lt;Total-Floor-Area&gt;</t>
  </si>
  <si>
    <t>/SAP-Report[1]/SAP10-Data[1]/SAP-Property-Details[1]/SAP-Building-Parts[1]/SAP-Building-Part[1]/SAP-Floor-Dimensions[1]/SAP-Floor-Dimension[1]/Total-Floor-Area[1]</t>
  </si>
  <si>
    <t>&lt;/Total-Floor-Area&gt;</t>
  </si>
  <si>
    <t>&lt;Storey-Height&gt;</t>
  </si>
  <si>
    <t>/SAP-Report[1]/SAP10-Data[1]/SAP-Property-Details[1]/SAP-Building-Parts[1]/SAP-Building-Part[1]/SAP-Floor-Dimensions[1]/SAP-Floor-Dimension[1]/Storey-Height[1]</t>
  </si>
  <si>
    <t>&lt;/Storey-Height&gt;</t>
  </si>
  <si>
    <t>&lt;Heat-Loss-Area&gt;</t>
  </si>
  <si>
    <t>/SAP-Report[1]/SAP10-Data[1]/SAP-Property-Details[1]/SAP-Building-Parts[1]/SAP-Building-Part[1]/SAP-Floor-Dimensions[1]/SAP-Floor-Dimension[1]/Heat-Loss-Area[1]</t>
  </si>
  <si>
    <t>&lt;/Heat-Loss-Area&gt;</t>
  </si>
  <si>
    <t>&lt;U-Value&gt;</t>
  </si>
  <si>
    <t>/SAP-Report[1]/SAP10-Data[1]/SAP-Property-Details[1]/SAP-Building-Parts[1]/SAP-Building-Part[1]/SAP-Floor-Dimensions[1]/SAP-Floor-Dimension[1]/U-Value[1]</t>
  </si>
  <si>
    <t>&lt;/U-Value&gt;</t>
  </si>
  <si>
    <t>&lt;SAP-Walls&gt;</t>
  </si>
  <si>
    <t>/SAP-Report[1]/SAP10-Data[1]/SAP-Property-Details[1]/SAP-Building-Parts[1]/SAP-Building-Part[1]/SAP-Walls[1]</t>
  </si>
  <si>
    <t>&lt;/SAP-Walls&gt;</t>
  </si>
  <si>
    <t>&lt;SAP-Wall&gt;</t>
  </si>
  <si>
    <t>/SAP-Report[1]/SAP10-Data[1]/SAP-Property-Details[1]/SAP-Building-Parts[1]/SAP-Building-Part[1]/SAP-Walls[1]/SAP-Wall[1]</t>
  </si>
  <si>
    <t>&lt;/SAP-Wall&gt;</t>
  </si>
  <si>
    <t>&lt;Wall-Type&gt;</t>
  </si>
  <si>
    <t>/SAP-Report[1]/SAP10-Data[1]/SAP-Property-Details[1]/SAP-Building-Parts[1]/SAP-Building-Part[1]/SAP-Walls[1]/SAP-Wall[1]/Wall-Type[1]</t>
  </si>
  <si>
    <t>&lt;/Wall-Type&gt;</t>
  </si>
  <si>
    <t>&lt;Total-Wall-Area&gt;</t>
  </si>
  <si>
    <t>/SAP-Report[1]/SAP10-Data[1]/SAP-Property-Details[1]/SAP-Building-Parts[1]/SAP-Building-Part[1]/SAP-Walls[1]/SAP-Wall[1]/Total-Wall-Area[1]</t>
  </si>
  <si>
    <t>&lt;/Total-Wall-Area&gt;</t>
  </si>
  <si>
    <t>/SAP-Report[1]/SAP10-Data[1]/SAP-Property-Details[1]/SAP-Building-Parts[1]/SAP-Building-Part[1]/SAP-Walls[1]/SAP-Wall[1]/U-Value[1]</t>
  </si>
  <si>
    <t>&lt;Name&gt;</t>
  </si>
  <si>
    <t>/SAP-Report[1]/SAP10-Data[1]/SAP-Property-Details[1]/SAP-Building-Parts[1]/SAP-Building-Part[1]/SAP-Walls[1]/SAP-Wall[1]/Name[1]</t>
  </si>
  <si>
    <t>&lt;/Name&gt;</t>
  </si>
  <si>
    <t>&lt;SAP-Roofs&gt;</t>
  </si>
  <si>
    <t>/SAP-Report[1]/SAP10-Data[1]/SAP-Property-Details[1]/SAP-Building-Parts[1]/SAP-Building-Part[1]/SAP-Roofs[1]</t>
  </si>
  <si>
    <t>&lt;/SAP-Roofs&gt;</t>
  </si>
  <si>
    <t>&lt;SAP-Roof&gt;</t>
  </si>
  <si>
    <t>/SAP-Report[1]/SAP10-Data[1]/SAP-Property-Details[1]/SAP-Building-Parts[1]/SAP-Building-Part[1]/SAP-Roofs[1]/SAP-Roof[1]</t>
  </si>
  <si>
    <t>&lt;/SAP-Roof&gt;</t>
  </si>
  <si>
    <t>&lt;Total-Roof-Area&gt;</t>
  </si>
  <si>
    <t>/SAP-Report[1]/SAP10-Data[1]/SAP-Property-Details[1]/SAP-Building-Parts[1]/SAP-Building-Part[1]/SAP-Roofs[1]/SAP-Roof[1]/Total-Roof-Area[1]</t>
  </si>
  <si>
    <t>&lt;/Total-Roof-Area&gt;</t>
  </si>
  <si>
    <t>/SAP-Report[1]/SAP10-Data[1]/SAP-Property-Details[1]/SAP-Building-Parts[1]/SAP-Building-Part[1]/SAP-Roofs[1]/SAP-Roof[1]/U-Value[1]</t>
  </si>
  <si>
    <t>&lt;Roof-Type&gt;</t>
  </si>
  <si>
    <t>/SAP-Report[1]/SAP10-Data[1]/SAP-Property-Details[1]/SAP-Building-Parts[1]/SAP-Building-Part[1]/SAP-Roofs[1]/SAP-Roof[1]/Roof-Type[1]</t>
  </si>
  <si>
    <t>&lt;/Roof-Type&gt;</t>
  </si>
  <si>
    <t>/SAP-Report[1]/SAP10-Data[1]/SAP-Property-Details[1]/SAP-Building-Parts[1]/SAP-Building-Part[1]/SAP-Roofs[1]/SAP-Roof[1]/Name[1]</t>
  </si>
  <si>
    <t>&lt;SAP-Openings&gt;</t>
  </si>
  <si>
    <t>/SAP-Report[1]/SAP10-Data[1]/SAP-Property-Details[1]/SAP-Building-Parts[1]/SAP-Building-Part[1]/SAP-Openings[1]</t>
  </si>
  <si>
    <t>&lt;/SAP-Openings&gt;</t>
  </si>
  <si>
    <t>&lt;SAP-Opening&gt;</t>
  </si>
  <si>
    <t>/SAP-Report[1]/SAP10-Data[1]/SAP-Property-Details[1]/SAP-Building-Parts[1]/SAP-Building-Part[1]/SAP-Openings[1]/SAP-Opening[1]</t>
  </si>
  <si>
    <t>&lt;/SAP-Opening&gt;</t>
  </si>
  <si>
    <t>&lt;Type&gt;</t>
  </si>
  <si>
    <t>/SAP-Report[1]/SAP10-Data[1]/SAP-Property-Details[1]/SAP-Building-Parts[1]/SAP-Building-Part[1]/SAP-Openings[1]/SAP-Opening[1]/Type[1]</t>
  </si>
  <si>
    <t>&lt;/Type&gt;</t>
  </si>
  <si>
    <t>&lt;Height&gt;</t>
  </si>
  <si>
    <t>/SAP-Report[1]/SAP10-Data[1]/SAP-Property-Details[1]/SAP-Building-Parts[1]/SAP-Building-Part[1]/SAP-Openings[1]/SAP-Opening[1]/Height[1]</t>
  </si>
  <si>
    <t>&lt;/Height&gt;</t>
  </si>
  <si>
    <t>&lt;Width&gt;</t>
  </si>
  <si>
    <t>/SAP-Report[1]/SAP10-Data[1]/SAP-Property-Details[1]/SAP-Building-Parts[1]/SAP-Building-Part[1]/SAP-Openings[1]/SAP-Opening[1]/Width[1]</t>
  </si>
  <si>
    <t>&lt;/Width&gt;</t>
  </si>
  <si>
    <t>&lt;Location&gt;</t>
  </si>
  <si>
    <t>/SAP-Report[1]/SAP10-Data[1]/SAP-Property-Details[1]/SAP-Building-Parts[1]/SAP-Building-Part[1]/SAP-Openings[1]/SAP-Opening[1]/Location[1]</t>
  </si>
  <si>
    <t>&lt;/Location&gt;</t>
  </si>
  <si>
    <t>&lt;Orientation&gt;</t>
  </si>
  <si>
    <t>/SAP-Report[1]/SAP10-Data[1]/SAP-Property-Details[1]/SAP-Building-Parts[1]/SAP-Building-Part[1]/SAP-Openings[1]/SAP-Opening[1]/Orientation[1]</t>
  </si>
  <si>
    <t>&lt;/Orientation&gt;</t>
  </si>
  <si>
    <t>&lt;SAP-Thermal-Bridges&gt;</t>
  </si>
  <si>
    <t>/SAP-Report[1]/SAP10-Data[1]/SAP-Property-Details[1]/SAP-Building-Parts[1]/SAP-Building-Part[1]/SAP-Thermal-Bridges[1]</t>
  </si>
  <si>
    <t>&lt;/SAP-Thermal-Bridges&gt;</t>
  </si>
  <si>
    <t>&lt;Thermal-Bridge-Code&gt;</t>
  </si>
  <si>
    <t>/SAP-Report[1]/SAP10-Data[1]/SAP-Property-Details[1]/SAP-Building-Parts[1]/SAP-Building-Part[1]/SAP-Thermal-Bridges[1]/Thermal-Bridge-Code[1]</t>
  </si>
  <si>
    <t>&lt;/Thermal-Bridge-Code&gt;</t>
  </si>
  <si>
    <t>&lt;SAP-Opening-Types&gt;</t>
  </si>
  <si>
    <t>/SAP-Report[1]/SAP10-Data[1]/SAP-Property-Details[1]/SAP-Opening-Types[1]</t>
  </si>
  <si>
    <t>&lt;/SAP-Opening-Types&gt;</t>
  </si>
  <si>
    <t>&lt;SAP-Opening-Type&gt;</t>
  </si>
  <si>
    <t>/SAP-Report[1]/SAP10-Data[1]/SAP-Property-Details[1]/SAP-Opening-Types[1]/SAP-Opening-Type[1]</t>
  </si>
  <si>
    <t>&lt;/SAP-Opening-Type&gt;</t>
  </si>
  <si>
    <t>/SAP-Report[1]/SAP10-Data[1]/SAP-Property-Details[1]/SAP-Opening-Types[1]/SAP-Opening-Type[1]/Name[1]</t>
  </si>
  <si>
    <t>/SAP-Report[1]/SAP10-Data[1]/SAP-Property-Details[1]/SAP-Opening-Types[1]/SAP-Opening-Type[1]/Type[1]</t>
  </si>
  <si>
    <t>&lt;Data-Source&gt;</t>
  </si>
  <si>
    <t>/SAP-Report[1]/SAP10-Data[1]/SAP-Property-Details[1]/SAP-Opening-Types[1]/SAP-Opening-Type[1]/Data-Source[1]</t>
  </si>
  <si>
    <t>&lt;/Data-Source&gt;</t>
  </si>
  <si>
    <t>/SAP-Report[1]/SAP10-Data[1]/SAP-Property-Details[1]/SAP-Opening-Types[1]/SAP-Opening-Type[1]/U-Value[1]</t>
  </si>
  <si>
    <t>&lt;Glazing-Type&gt;</t>
  </si>
  <si>
    <t>/SAP-Report[1]/SAP10-Data[1]/SAP-Property-Details[1]/SAP-Opening-Types[1]/SAP-Opening-Type[1]/Glazing-Type[1]</t>
  </si>
  <si>
    <t>&lt;/Glazing-Type&gt;</t>
  </si>
  <si>
    <t>&lt;SAP-Heating&gt;</t>
  </si>
  <si>
    <t>/SAP-Report[1]/SAP10-Data[1]/SAP-Property-Details[1]/SAP-Heating[1]</t>
  </si>
  <si>
    <t>&lt;/SAP-Heating&gt;</t>
  </si>
  <si>
    <t>&lt;Has-Hot-Water-Cylinder&gt;</t>
  </si>
  <si>
    <t>/SAP-Report[1]/SAP10-Data[1]/SAP-Property-Details[1]/SAP-Heating[1]/Has-Hot-Water-Cylinder[1]</t>
  </si>
  <si>
    <t>&lt;/Has-Hot-Water-Cylinder&gt;</t>
  </si>
  <si>
    <t>&lt;Thermal-Store&gt;</t>
  </si>
  <si>
    <t>/SAP-Report[1]/SAP10-Data[1]/SAP-Property-Details[1]/SAP-Heating[1]/Thermal-Store[1]</t>
  </si>
  <si>
    <t>&lt;/Thermal-Store&gt;</t>
  </si>
  <si>
    <t>&lt;Secondary-Heating-Category&gt;</t>
  </si>
  <si>
    <t>/SAP-Report[1]/SAP10-Data[1]/SAP-Property-Details[1]/SAP-Heating[1]/Secondary-Heating-Category[1]</t>
  </si>
  <si>
    <t>&lt;/Secondary-Heating-Category&gt;</t>
  </si>
  <si>
    <t>&lt;Water-Heating-Code&gt;</t>
  </si>
  <si>
    <t>/SAP-Report[1]/SAP10-Data[1]/SAP-Property-Details[1]/SAP-Heating[1]/Water-Heating-Code[1]</t>
  </si>
  <si>
    <t>&lt;/Water-Heating-Code&gt;</t>
  </si>
  <si>
    <t>&lt;Main-Heating-Details&gt;</t>
  </si>
  <si>
    <t>/SAP-Report[1]/SAP10-Data[1]/SAP-Property-Details[1]/SAP-Heating[1]/Main-Heating-Details[1]</t>
  </si>
  <si>
    <t>&lt;/Main-Heating-Details&gt;</t>
  </si>
  <si>
    <t>&lt;Main-Heating&gt;</t>
  </si>
  <si>
    <t>/SAP-Report[1]/SAP10-Data[1]/SAP-Property-Details[1]/SAP-Heating[1]/Main-Heating-Details[1]/Main-Heating[1]</t>
  </si>
  <si>
    <t>&lt;/Main-Heating&gt;</t>
  </si>
  <si>
    <t>&lt;Main-Heating-Number&gt;</t>
  </si>
  <si>
    <t>/SAP-Report[1]/SAP10-Data[1]/SAP-Property-Details[1]/SAP-Heating[1]/Main-Heating-Details[1]/Main-Heating[1]/Main-Heating-Number[1]</t>
  </si>
  <si>
    <t>&lt;/Main-Heating-Number&gt;</t>
  </si>
  <si>
    <t>&lt;Main-Fuel-Type&gt;</t>
  </si>
  <si>
    <t>/SAP-Report[1]/SAP10-Data[1]/SAP-Property-Details[1]/SAP-Heating[1]/Main-Heating-Details[1]/Main-Heating[1]/Main-Fuel-Type[1]</t>
  </si>
  <si>
    <t>&lt;/Main-Fuel-Type&gt;</t>
  </si>
  <si>
    <t>&lt;Main-Heating-Category&gt;</t>
  </si>
  <si>
    <t>/SAP-Report[1]/SAP10-Data[1]/SAP-Property-Details[1]/SAP-Heating[1]/Main-Heating-Details[1]/Main-Heating[1]/Main-Heating-Category[1]</t>
  </si>
  <si>
    <t>&lt;/Main-Heating-Category&gt;</t>
  </si>
  <si>
    <t>&lt;Main-Heating-Data-Source&gt;</t>
  </si>
  <si>
    <t>/SAP-Report[1]/SAP10-Data[1]/SAP-Property-Details[1]/SAP-Heating[1]/Main-Heating-Details[1]/Main-Heating[1]/Main-Heating-Data-Source[1]</t>
  </si>
  <si>
    <t>&lt;/Main-Heating-Data-Source&gt;</t>
  </si>
  <si>
    <t>&lt;Main-Heating-Code&gt;</t>
  </si>
  <si>
    <t>/SAP-Report[1]/SAP10-Data[1]/SAP-Property-Details[1]/SAP-Heating[1]/Main-Heating-Details[1]/Main-Heating[1]/Main-Heating-Code[1]</t>
  </si>
  <si>
    <t>&lt;/Main-Heating-Code&gt;</t>
  </si>
  <si>
    <t>&lt;Is-Central-Heating-Pump-In-Heated-Space&gt;</t>
  </si>
  <si>
    <t>/SAP-Report[1]/SAP10-Data[1]/SAP-Property-Details[1]/SAP-Heating[1]/Main-Heating-Details[1]/Main-Heating[1]/Is-Central-Heating-Pump-In-Heated-Space[1]</t>
  </si>
  <si>
    <t>&lt;/Is-Central-Heating-Pump-In-Heated-Space&gt;</t>
  </si>
  <si>
    <t>&lt;Main-Heating-Fraction&gt;</t>
  </si>
  <si>
    <t>/SAP-Report[1]/SAP10-Data[1]/SAP-Property-Details[1]/SAP-Heating[1]/Main-Heating-Details[1]/Main-Heating[1]/Main-Heating-Fraction[1]</t>
  </si>
  <si>
    <t>&lt;/Main-Heating-Fraction&gt;</t>
  </si>
  <si>
    <t>&lt;Heat-Emitter-Type&gt;</t>
  </si>
  <si>
    <t>/SAP-Report[1]/SAP10-Data[1]/SAP-Property-Details[1]/SAP-Heating[1]/Main-Heating-Details[1]/Main-Heating[1]/Heat-Emitter-Type[1]</t>
  </si>
  <si>
    <t>&lt;/Heat-Emitter-Type&gt;</t>
  </si>
  <si>
    <t>&lt;Main-Heating-Control&gt;</t>
  </si>
  <si>
    <t>/SAP-Report[1]/SAP10-Data[1]/SAP-Property-Details[1]/SAP-Heating[1]/Main-Heating-Details[1]/Main-Heating[1]/Main-Heating-Control[1]</t>
  </si>
  <si>
    <t>&lt;/Main-Heating-Control&gt;</t>
  </si>
  <si>
    <t>&lt;Has-Separate-Delayed-Start&gt;</t>
  </si>
  <si>
    <t>/SAP-Report[1]/SAP10-Data[1]/SAP-Property-Details[1]/SAP-Heating[1]/Main-Heating-Details[1]/Main-Heating[1]/Has-Separate-Delayed-Start[1]</t>
  </si>
  <si>
    <t>&lt;/Has-Separate-Delayed-Start&gt;</t>
  </si>
  <si>
    <t>&lt;Is-Interlocked-System&gt;</t>
  </si>
  <si>
    <t>/SAP-Report[1]/SAP10-Data[1]/SAP-Property-Details[1]/SAP-Heating[1]/Main-Heating-Details[1]/Main-Heating[1]/Is-Interlocked-System[1]</t>
  </si>
  <si>
    <t>&lt;/Is-Interlocked-System&gt;</t>
  </si>
  <si>
    <t>&lt;SAP-Ventilation&gt;</t>
  </si>
  <si>
    <t>/SAP-Report[1]/SAP10-Data[1]/SAP-Property-Details[1]/SAP-Ventilation[1]</t>
  </si>
  <si>
    <t>&lt;/SAP-Ventilation&gt;</t>
  </si>
  <si>
    <t>&lt;Open-Chimneys-Count&gt;</t>
  </si>
  <si>
    <t>/SAP-Report[1]/SAP10-Data[1]/SAP-Property-Details[1]/SAP-Ventilation[1]/Open-Chimneys-Count[1]</t>
  </si>
  <si>
    <t>&lt;/Open-Chimneys-Count&gt;</t>
  </si>
  <si>
    <t>&lt;Open-Flues-Count&gt;</t>
  </si>
  <si>
    <t>/SAP-Report[1]/SAP10-Data[1]/SAP-Property-Details[1]/SAP-Ventilation[1]/Open-Flues-Count[1]</t>
  </si>
  <si>
    <t>&lt;/Open-Flues-Count&gt;</t>
  </si>
  <si>
    <t>&lt;Closed-Flues-Count&gt;</t>
  </si>
  <si>
    <t>/SAP-Report[1]/SAP10-Data[1]/SAP-Property-Details[1]/SAP-Ventilation[1]/Closed-Flues-Count[1]</t>
  </si>
  <si>
    <t>&lt;/Closed-Flues-Count&gt;</t>
  </si>
  <si>
    <t>&lt;Boilers-Flues-Count&gt;</t>
  </si>
  <si>
    <t>/SAP-Report[1]/SAP10-Data[1]/SAP-Property-Details[1]/SAP-Ventilation[1]/Boilers-Flues-Count[1]</t>
  </si>
  <si>
    <t>&lt;/Boilers-Flues-Count&gt;</t>
  </si>
  <si>
    <t>&lt;Other-Flues-Count&gt;</t>
  </si>
  <si>
    <t>/SAP-Report[1]/SAP10-Data[1]/SAP-Property-Details[1]/SAP-Ventilation[1]/Other-Flues-Count[1]</t>
  </si>
  <si>
    <t>&lt;/Other-Flues-Count&gt;</t>
  </si>
  <si>
    <t>&lt;Blocked-Chimneys-Count&gt;</t>
  </si>
  <si>
    <t>/SAP-Report[1]/SAP10-Data[1]/SAP-Property-Details[1]/SAP-Ventilation[1]/Blocked-Chimneys-Count[1]</t>
  </si>
  <si>
    <t>&lt;/Blocked-Chimneys-Count&gt;</t>
  </si>
  <si>
    <t>&lt;Extract-Fans-Count&gt;</t>
  </si>
  <si>
    <t>/SAP-Report[1]/SAP10-Data[1]/SAP-Property-Details[1]/SAP-Ventilation[1]/Extract-Fans-Count[1]</t>
  </si>
  <si>
    <t>&lt;/Extract-Fans-Count&gt;</t>
  </si>
  <si>
    <t>&lt;PSV-Count&gt;</t>
  </si>
  <si>
    <t>/SAP-Report[1]/SAP10-Data[1]/SAP-Property-Details[1]/SAP-Ventilation[1]/PSV-Count[1]</t>
  </si>
  <si>
    <t>&lt;/PSV-Count&gt;</t>
  </si>
  <si>
    <t>&lt;Flueless-Gas-Fires-Count&gt;</t>
  </si>
  <si>
    <t>/SAP-Report[1]/SAP10-Data[1]/SAP-Property-Details[1]/SAP-Ventilation[1]/Flueless-Gas-Fires-Count[1]</t>
  </si>
  <si>
    <t>&lt;/Flueless-Gas-Fires-Count&gt;</t>
  </si>
  <si>
    <t>&lt;Pressure-Test&gt;</t>
  </si>
  <si>
    <t>/SAP-Report[1]/SAP10-Data[1]/SAP-Property-Details[1]/SAP-Ventilation[1]/Pressure-Test[1]</t>
  </si>
  <si>
    <t>&lt;/Pressure-Test&gt;</t>
  </si>
  <si>
    <t>&lt;Air-Permeability&gt;</t>
  </si>
  <si>
    <t>/SAP-Report[1]/SAP10-Data[1]/SAP-Property-Details[1]/SAP-Ventilation[1]/Air-Permeability[1]</t>
  </si>
  <si>
    <t>&lt;/Air-Permeability&gt;</t>
  </si>
  <si>
    <t>&lt;Sheltered-Sides-Count&gt;</t>
  </si>
  <si>
    <t>/SAP-Report[1]/SAP10-Data[1]/SAP-Property-Details[1]/SAP-Ventilation[1]/Sheltered-Sides-Count[1]</t>
  </si>
  <si>
    <t>&lt;/Sheltered-Sides-Count&gt;</t>
  </si>
  <si>
    <t>&lt;Ventilation-Type&gt;</t>
  </si>
  <si>
    <t>/SAP-Report[1]/SAP10-Data[1]/SAP-Property-Details[1]/SAP-Ventilation[1]/Ventilation-Type[1]</t>
  </si>
  <si>
    <t>&lt;/Ventilation-Type&gt;</t>
  </si>
  <si>
    <t>SAP-Schema-19.1.0</t>
  </si>
  <si>
    <t>sap_wall_1_1</t>
  </si>
  <si>
    <t>sap_opening_type_1</t>
  </si>
  <si>
    <t>10.2 -  SAP version 10.2, dated Oct 2020</t>
  </si>
  <si>
    <t>1 -  mains</t>
  </si>
  <si>
    <t>2 -  ground floor</t>
  </si>
  <si>
    <t>0 -  Ground</t>
  </si>
  <si>
    <t>2 -  exposed roof</t>
  </si>
  <si>
    <t>1 -  default</t>
  </si>
  <si>
    <t>2 -  manufacturer declaration</t>
  </si>
  <si>
    <t>0 -  False</t>
  </si>
  <si>
    <t>1 -  True</t>
  </si>
  <si>
    <t>1 -  radiators</t>
  </si>
  <si>
    <t>1 -  natural with intermittent extract fans</t>
  </si>
  <si>
    <t>0.21, 0.21, 0.21, 0.21, 0.21, 0.21, 0.21, 0.21, 0.21, 0.21, 0.21, 0.21</t>
  </si>
  <si>
    <t>0.163, 0.16, 0.153, 0.143, 0.132, 0.12, 0.111, 0.112, 0.122, 0.136, 0.151, 0.163</t>
  </si>
  <si>
    <t>https://stevenkfirth.github.io/sap10calcs/sap_schema_19_1_0.html</t>
  </si>
  <si>
    <t>See also this online help documentation for SAP10 XML files:</t>
  </si>
  <si>
    <t>2 -  yes (new dwelling, design value)</t>
  </si>
  <si>
    <t>&lt;SAP-Energy-Source&gt;</t>
  </si>
  <si>
    <t>/SAP-Report[1]/SAP10-Data[1]/SAP-Property-Details[1]/SAP-Energy-Source[1]</t>
  </si>
  <si>
    <t>&lt;/SAP-Energy-Source&gt;</t>
  </si>
  <si>
    <t>&lt;Electricity-Tariff&gt;</t>
  </si>
  <si>
    <t>/SAP-Report[1]/SAP10-Data[1]/SAP-Property-Details[1]/SAP-Energy-Source[1]/Electricity-Tariff[1]</t>
  </si>
  <si>
    <t>&lt;/Electricity-Tariff&gt;</t>
  </si>
  <si>
    <t>1 -  new dwelling as designed</t>
  </si>
  <si>
    <t>2 -  average or unknown</t>
  </si>
  <si>
    <t>2 -  exposed wall</t>
  </si>
  <si>
    <t>sap_roof_1_1</t>
  </si>
  <si>
    <t>5 -  South</t>
  </si>
  <si>
    <t>4 -  window</t>
  </si>
  <si>
    <t>3 -  double</t>
  </si>
  <si>
    <t>1 -  none</t>
  </si>
  <si>
    <t>The type of Water Heating present in the Property.  [see SAP document, Table 4a]</t>
  </si>
  <si>
    <t>1 -  Gas: mains gas</t>
  </si>
  <si>
    <t>2 -  boiler with radiators or underfloor heating</t>
  </si>
  <si>
    <t>3 -  from SAP table</t>
  </si>
  <si>
    <t>Main heating code; when heating data source is SAP table.  [see SAP document, Table 4a or Table 4b]</t>
  </si>
  <si>
    <t>Type of Main Control for the Heating System.  [see SAP document, Table 4e]</t>
  </si>
  <si>
    <t>1 -  standard tariff</t>
  </si>
  <si>
    <t>0.9 / 0.77</t>
  </si>
  <si>
    <t>46.8, 76.6, 97.5, 110.2, 114.9, 110.5, 108.0, 104.9, 101.9, 82.6, 55.4, 40.4</t>
  </si>
  <si>
    <t>&lt;Kappa-Value&gt;</t>
  </si>
  <si>
    <t>/SAP-Report[1]/SAP10-Data[1]/SAP-Property-Details[1]/SAP-Building-Parts[1]/SAP-Building-Part[1]/SAP-Floor-Dimensions[1]/SAP-Floor-Dimension[1]/Kappa-Value[1]</t>
  </si>
  <si>
    <t>&lt;/Kappa-Value&gt;</t>
  </si>
  <si>
    <t>/SAP-Report[1]/SAP10-Data[1]/SAP-Property-Details[1]/SAP-Building-Parts[1]/SAP-Building-Part[1]/SAP-Floor-Dimensions[1]/SAP-Floor-Dimension[1]/Kappa-Value[2]</t>
  </si>
  <si>
    <t>/SAP-Report[1]/SAP10-Data[1]/SAP-Property-Details[1]/SAP-Building-Parts[1]/SAP-Building-Part[1]/SAP-Floor-Dimensions[1]/SAP-Floor-Dimension[1]/Kappa-Value[3]</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</si>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</sst>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_-[$£-809]* #,##0.00_-;\-[$£-809]* #,##0.00_-;_-[$£-809]* &quot;-&quot;??_-;_-@_-"/>
  </numFmts>
  <fonts count="29" x14ac:knownFonts="1">
    <font>
      <sz val="11"/>
      <color theme="1"/>
      <name val="Aptos Narrow"/>
      <family val="2"/>
      <scheme val="minor"/>
    </font>
    <font>
      <sz val="8"/>
      <name val="Aptos Narrow"/>
      <family val="2"/>
      <scheme val="minor"/>
    </font>
    <font>
      <b/>
      <sz val="11"/>
      <color theme="1"/>
      <name val="Aptos Narrow"/>
      <family val="2"/>
      <scheme val="minor"/>
    </font>
    <font>
      <i/>
      <sz val="11"/>
      <color theme="1"/>
      <name val="Aptos Narrow"/>
      <family val="2"/>
      <scheme val="minor"/>
    </font>
    <font>
      <b/>
      <sz val="16"/>
      <color theme="1"/>
      <name val="Aptos Narrow"/>
      <family val="2"/>
      <scheme val="minor"/>
    </font>
    <font>
      <sz val="11"/>
      <color rgb="FFFF0000"/>
      <name val="Aptos Narrow"/>
      <family val="2"/>
      <scheme val="minor"/>
    </font>
    <font>
      <u/>
      <sz val="11"/>
      <color theme="10"/>
      <name val="Aptos Narrow"/>
      <family val="2"/>
      <scheme val="minor"/>
    </font>
    <font>
      <sz val="11"/>
      <color theme="1" tint="0.34998626667073579"/>
      <name val="Aptos Narrow"/>
      <family val="2"/>
      <scheme val="minor"/>
    </font>
    <font>
      <b/>
      <sz val="14"/>
      <color theme="1"/>
      <name val="Aptos Narrow"/>
      <family val="2"/>
      <scheme val="minor"/>
    </font>
    <font>
      <sz val="11"/>
      <color theme="1"/>
      <name val="Aptos Narrow"/>
      <family val="2"/>
    </font>
    <font>
      <vertAlign val="superscript"/>
      <sz val="11"/>
      <color theme="1"/>
      <name val="Aptos Narrow"/>
      <family val="2"/>
      <scheme val="minor"/>
    </font>
    <font>
      <sz val="11"/>
      <color rgb="FF0066FF"/>
      <name val="Aptos Narrow"/>
      <family val="2"/>
      <scheme val="minor"/>
    </font>
    <font>
      <i/>
      <sz val="11"/>
      <color rgb="FF0066FF"/>
      <name val="Aptos Narrow"/>
      <family val="2"/>
      <scheme val="minor"/>
    </font>
    <font>
      <vertAlign val="subscript"/>
      <sz val="11"/>
      <color theme="1"/>
      <name val="Aptos Narrow"/>
      <family val="2"/>
      <scheme val="minor"/>
    </font>
    <font>
      <vertAlign val="subscript"/>
      <sz val="11"/>
      <color rgb="FF0066FF"/>
      <name val="Aptos Narrow"/>
      <family val="2"/>
      <scheme val="minor"/>
    </font>
    <font>
      <b/>
      <sz val="11"/>
      <color theme="1"/>
      <name val="Aptos Narrow"/>
      <family val="2"/>
    </font>
    <font>
      <i/>
      <sz val="10"/>
      <color theme="1"/>
      <name val="Aptos Narrow"/>
      <family val="2"/>
      <scheme val="minor"/>
    </font>
    <font>
      <i/>
      <sz val="11"/>
      <color theme="1"/>
      <name val="Aptos Narrow"/>
      <family val="2"/>
    </font>
    <font>
      <i/>
      <vertAlign val="subscript"/>
      <sz val="11"/>
      <color rgb="FF0066FF"/>
      <name val="Aptos Narrow"/>
      <family val="2"/>
      <scheme val="minor"/>
    </font>
    <font>
      <sz val="14"/>
      <color theme="1"/>
      <name val="Aptos Narrow"/>
      <family val="2"/>
      <scheme val="minor"/>
    </font>
    <font>
      <vertAlign val="subscript"/>
      <sz val="11"/>
      <color theme="1"/>
      <name val="Aptos Narrow"/>
      <family val="2"/>
    </font>
    <font>
      <b/>
      <vertAlign val="subscript"/>
      <sz val="11"/>
      <color theme="1"/>
      <name val="Aptos Narrow"/>
      <family val="2"/>
      <scheme val="minor"/>
    </font>
    <font>
      <sz val="11"/>
      <color theme="0" tint="-0.34998626667073579"/>
      <name val="Aptos Narrow"/>
      <family val="2"/>
      <scheme val="minor"/>
    </font>
    <font>
      <b/>
      <sz val="14"/>
      <color theme="0" tint="-0.34998626667073579"/>
      <name val="Aptos Narrow"/>
      <family val="2"/>
      <scheme val="minor"/>
    </font>
    <font>
      <b/>
      <sz val="14"/>
      <color theme="1" tint="0.34998626667073579"/>
      <name val="Aptos Narrow"/>
      <family val="2"/>
      <scheme val="minor"/>
    </font>
    <font>
      <b/>
      <u/>
      <sz val="14"/>
      <color theme="1"/>
      <name val="Aptos Narrow"/>
      <family val="2"/>
      <scheme val="minor"/>
    </font>
    <font>
      <b/>
      <u/>
      <sz val="16"/>
      <color theme="1"/>
      <name val="Aptos Narrow"/>
      <family val="2"/>
      <scheme val="minor"/>
    </font>
    <font>
      <b/>
      <u/>
      <sz val="11"/>
      <color theme="1"/>
      <name val="Aptos Narrow"/>
      <family val="2"/>
      <scheme val="minor"/>
    </font>
    <font>
      <b/>
      <sz val="11"/>
      <color rgb="FFFF0000"/>
      <name val="Aptos Narrow"/>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4" tint="0.7999511703848384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7" tint="0.7999511703848384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73">
    <xf numFmtId="0" fontId="0" fillId="0" borderId="0" xfId="0"/>
    <xf numFmtId="0" fontId="2" fillId="0" borderId="0" xfId="0" applyFont="1"/>
    <xf numFmtId="0" fontId="3" fillId="0" borderId="0" xfId="0" applyFont="1"/>
    <xf numFmtId="0" fontId="4" fillId="0" borderId="0" xfId="0" applyFont="1"/>
    <xf numFmtId="0" fontId="6" fillId="0" borderId="0" xfId="1"/>
    <xf numFmtId="0" fontId="5" fillId="0" borderId="0" xfId="0" applyFont="1"/>
    <xf numFmtId="0" fontId="0" fillId="0" borderId="0" xfId="0" applyAlignment="1">
      <alignment horizontal="center"/>
    </xf>
    <xf numFmtId="0" fontId="7" fillId="0" borderId="0" xfId="0" applyFont="1"/>
    <xf numFmtId="0" fontId="0" fillId="0" borderId="1" xfId="0" applyBorder="1"/>
    <xf numFmtId="0" fontId="0" fillId="0" borderId="0" xfId="0" quotePrefix="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Alignment="1">
      <alignment horizontal="right"/>
    </xf>
    <xf numFmtId="0" fontId="0" fillId="0" borderId="7" xfId="0" applyBorder="1"/>
    <xf numFmtId="0" fontId="0" fillId="0" borderId="8" xfId="0" applyBorder="1"/>
    <xf numFmtId="0" fontId="0" fillId="0" borderId="9" xfId="0" applyBorder="1"/>
    <xf numFmtId="0" fontId="8" fillId="0" borderId="0" xfId="0" applyFont="1"/>
    <xf numFmtId="0" fontId="11" fillId="0" borderId="6" xfId="0" applyFont="1" applyBorder="1"/>
    <xf numFmtId="49" fontId="11" fillId="0" borderId="6" xfId="0" quotePrefix="1" applyNumberFormat="1" applyFont="1" applyBorder="1"/>
    <xf numFmtId="0" fontId="11" fillId="0" borderId="0" xfId="0" applyFont="1" applyAlignment="1">
      <alignment horizontal="right"/>
    </xf>
    <xf numFmtId="0" fontId="11" fillId="0" borderId="0" xfId="0" applyFont="1"/>
    <xf numFmtId="0" fontId="11" fillId="0" borderId="0" xfId="0" applyFont="1" applyAlignment="1">
      <alignment horizontal="left"/>
    </xf>
    <xf numFmtId="0" fontId="9" fillId="0" borderId="0" xfId="0" applyFont="1" applyAlignment="1">
      <alignment horizontal="center"/>
    </xf>
    <xf numFmtId="0" fontId="9" fillId="0" borderId="0" xfId="0" applyFont="1"/>
    <xf numFmtId="0" fontId="11" fillId="0" borderId="6" xfId="0" quotePrefix="1" applyFont="1" applyBorder="1"/>
    <xf numFmtId="0" fontId="0" fillId="3" borderId="1" xfId="0" applyFill="1" applyBorder="1" applyAlignment="1">
      <alignment horizontal="center"/>
    </xf>
    <xf numFmtId="0" fontId="9" fillId="0" borderId="0" xfId="0" applyFont="1" applyAlignment="1">
      <alignment horizontal="right"/>
    </xf>
    <xf numFmtId="0" fontId="0" fillId="0" borderId="0" xfId="0" quotePrefix="1" applyAlignment="1">
      <alignment horizontal="center"/>
    </xf>
    <xf numFmtId="0" fontId="16" fillId="0" borderId="0" xfId="0" quotePrefix="1" applyFont="1"/>
    <xf numFmtId="0" fontId="16" fillId="0" borderId="0" xfId="0" applyFont="1"/>
    <xf numFmtId="0" fontId="11" fillId="0" borderId="10" xfId="0" quotePrefix="1" applyFont="1" applyBorder="1"/>
    <xf numFmtId="0" fontId="0" fillId="0" borderId="1" xfId="0" applyBorder="1" applyAlignment="1">
      <alignment horizontal="center"/>
    </xf>
    <xf numFmtId="0" fontId="11" fillId="0" borderId="5" xfId="0" quotePrefix="1" applyFont="1" applyBorder="1"/>
    <xf numFmtId="0" fontId="11" fillId="0" borderId="0" xfId="0" quotePrefix="1" applyFont="1" applyAlignment="1">
      <alignment horizontal="center"/>
    </xf>
    <xf numFmtId="0" fontId="11" fillId="0" borderId="6" xfId="0" quotePrefix="1" applyFont="1" applyBorder="1" applyAlignment="1">
      <alignment horizontal="center"/>
    </xf>
    <xf numFmtId="164" fontId="0" fillId="3" borderId="1" xfId="0" applyNumberFormat="1" applyFill="1" applyBorder="1" applyAlignment="1">
      <alignment horizontal="center"/>
    </xf>
    <xf numFmtId="2" fontId="0" fillId="3" borderId="1" xfId="0" applyNumberFormat="1" applyFill="1" applyBorder="1" applyAlignment="1">
      <alignment horizontal="center"/>
    </xf>
    <xf numFmtId="165" fontId="0" fillId="3" borderId="1" xfId="0" applyNumberFormat="1" applyFill="1" applyBorder="1" applyAlignment="1">
      <alignment horizontal="center"/>
    </xf>
    <xf numFmtId="165" fontId="0" fillId="0" borderId="1" xfId="0" applyNumberFormat="1" applyBorder="1" applyAlignment="1">
      <alignment horizontal="center"/>
    </xf>
    <xf numFmtId="166" fontId="0" fillId="3" borderId="1" xfId="0" applyNumberFormat="1" applyFill="1" applyBorder="1" applyAlignment="1">
      <alignment horizontal="center"/>
    </xf>
    <xf numFmtId="0" fontId="22" fillId="0" borderId="0" xfId="0" applyFont="1"/>
    <xf numFmtId="0" fontId="23" fillId="0" borderId="0" xfId="0" quotePrefix="1" applyFont="1"/>
    <xf numFmtId="0" fontId="8" fillId="0" borderId="0" xfId="0" applyFont="1" applyAlignment="1">
      <alignment horizontal="center"/>
    </xf>
    <xf numFmtId="0" fontId="24" fillId="0" borderId="0" xfId="0" applyFont="1"/>
    <xf numFmtId="0" fontId="0" fillId="5" borderId="10" xfId="0" applyFill="1" applyBorder="1" applyAlignment="1">
      <alignment horizontal="center"/>
    </xf>
    <xf numFmtId="0" fontId="0" fillId="4" borderId="1" xfId="0" applyFill="1" applyBorder="1" applyAlignment="1">
      <alignment horizontal="center"/>
    </xf>
    <xf numFmtId="0" fontId="0" fillId="0" borderId="3" xfId="0" applyBorder="1" applyAlignment="1">
      <alignment horizontal="center"/>
    </xf>
    <xf numFmtId="0" fontId="25" fillId="0" borderId="0" xfId="0" applyFont="1"/>
    <xf numFmtId="0" fontId="26" fillId="0" borderId="0" xfId="0" applyFont="1"/>
    <xf numFmtId="0" fontId="27" fillId="0" borderId="0" xfId="0" applyFont="1"/>
    <xf numFmtId="0" fontId="0" fillId="0" borderId="0" xfId="0" applyAlignment="1">
      <alignment wrapText="1"/>
    </xf>
    <xf numFmtId="0" fontId="0" fillId="2" borderId="1" xfId="0" applyFill="1" applyBorder="1"/>
    <xf numFmtId="0" fontId="2" fillId="0" borderId="5" xfId="0" applyFont="1" applyBorder="1"/>
    <xf numFmtId="0" fontId="2" fillId="0" borderId="0" xfId="0" applyFont="1" applyBorder="1"/>
    <xf numFmtId="0" fontId="0" fillId="0" borderId="0" xfId="0" applyBorder="1"/>
    <xf numFmtId="0" fontId="0" fillId="6" borderId="1" xfId="0" applyNumberFormat="1" applyFill="1" applyBorder="1" applyAlignment="1">
      <alignment horizontal="center"/>
    </xf>
    <xf numFmtId="0" fontId="0" fillId="6" borderId="12" xfId="0" applyNumberFormat="1" applyFill="1" applyBorder="1" applyAlignment="1">
      <alignment horizontal="center"/>
    </xf>
    <xf numFmtId="0" fontId="0" fillId="7" borderId="11" xfId="0" applyNumberFormat="1" applyFill="1" applyBorder="1" applyAlignment="1">
      <alignment horizontal="center"/>
    </xf>
    <xf numFmtId="0" fontId="0" fillId="7" borderId="1" xfId="0" applyNumberFormat="1" applyFill="1" applyBorder="1" applyAlignment="1">
      <alignment horizontal="center"/>
    </xf>
    <xf numFmtId="0" fontId="0" fillId="7" borderId="12" xfId="0" applyNumberFormat="1" applyFill="1" applyBorder="1" applyAlignment="1">
      <alignment horizontal="center"/>
    </xf>
    <xf numFmtId="0" fontId="0" fillId="6" borderId="11" xfId="0" applyNumberFormat="1" applyFill="1" applyBorder="1" applyAlignment="1">
      <alignment horizontal="center"/>
    </xf>
    <xf numFmtId="0" fontId="0" fillId="6" borderId="10" xfId="0" applyNumberFormat="1" applyFill="1" applyBorder="1" applyAlignment="1">
      <alignment horizontal="center"/>
    </xf>
    <xf numFmtId="0" fontId="0" fillId="7" borderId="10" xfId="0" applyNumberFormat="1" applyFill="1" applyBorder="1" applyAlignment="1">
      <alignment horizontal="center"/>
    </xf>
    <xf numFmtId="0" fontId="0" fillId="0" borderId="1" xfId="0" applyFill="1" applyBorder="1" applyAlignment="1">
      <alignment horizontal="center"/>
    </xf>
    <xf numFmtId="0" fontId="0" fillId="0" borderId="1" xfId="0" applyFill="1" applyBorder="1" applyAlignment="1">
      <alignment horizontal="left"/>
    </xf>
    <xf numFmtId="2" fontId="0" fillId="0" borderId="1" xfId="0" applyNumberFormat="1" applyFill="1" applyBorder="1" applyAlignment="1">
      <alignment horizontal="center"/>
    </xf>
    <xf numFmtId="0" fontId="0" fillId="0" borderId="1" xfId="0" applyFill="1" applyBorder="1"/>
    <xf numFmtId="165" fontId="0" fillId="0" borderId="1" xfId="0" applyNumberFormat="1" applyFill="1" applyBorder="1" applyAlignment="1">
      <alignment horizontal="center"/>
    </xf>
    <xf numFmtId="166" fontId="0" fillId="0" borderId="1" xfId="0" applyNumberFormat="1" applyFill="1" applyBorder="1" applyAlignment="1">
      <alignment horizontal="center"/>
    </xf>
    <xf numFmtId="11" fontId="0" fillId="3" borderId="1" xfId="0" applyNumberForma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netzeroapis.com/redoc" TargetMode="External"/><Relationship Id="rId3" Type="http://schemas.openxmlformats.org/officeDocument/2006/relationships/hyperlink" Target="https://netzeroapis.com/" TargetMode="External"/><Relationship Id="rId7" Type="http://schemas.openxmlformats.org/officeDocument/2006/relationships/hyperlink" Target="https://github.com/communitiesuk/epb-register-api/tree/master/api/schemas/xml/SAP-Schema-19.1.0/SAP" TargetMode="External"/><Relationship Id="rId2" Type="http://schemas.openxmlformats.org/officeDocument/2006/relationships/hyperlink" Target="https://www.stevenfirth.com/tag/sap10/" TargetMode="External"/><Relationship Id="rId1" Type="http://schemas.openxmlformats.org/officeDocument/2006/relationships/hyperlink" Target="https://bregroup.com/expertise/energy/sap/sap10" TargetMode="External"/><Relationship Id="rId6" Type="http://schemas.openxmlformats.org/officeDocument/2006/relationships/hyperlink" Target="https://www.stevenfirth.com/" TargetMode="External"/><Relationship Id="rId5" Type="http://schemas.openxmlformats.org/officeDocument/2006/relationships/hyperlink" Target="mailto:s.k.firth@lboro.ac.uk" TargetMode="External"/><Relationship Id="rId10" Type="http://schemas.openxmlformats.org/officeDocument/2006/relationships/hyperlink" Target="https://stevenkfirth.github.io/sap10calcs/sap_schema_19_1_0.html" TargetMode="External"/><Relationship Id="rId4" Type="http://schemas.openxmlformats.org/officeDocument/2006/relationships/hyperlink" Target="https://opensource.org/license/mit" TargetMode="External"/><Relationship Id="rId9" Type="http://schemas.openxmlformats.org/officeDocument/2006/relationships/hyperlink" Target="https://netzeroapis.com/redo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hyperlink" Target="https://www.netzeroapis.com/redoc"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62063-77AC-4E75-8285-4A683209916A}">
  <sheetPr codeName="Sheet10"/>
  <dimension ref="A1:A67"/>
  <sheetViews>
    <sheetView showGridLines="0" zoomScaleNormal="100" workbookViewId="0"/>
  </sheetViews>
  <sheetFormatPr defaultRowHeight="15" x14ac:dyDescent="0.25"/>
  <cols>
    <col min="1" max="1" width="174" customWidth="1"/>
    <col min="2" max="2" width="18.42578125" customWidth="1"/>
  </cols>
  <sheetData>
    <row r="1" spans="1:1" ht="21" x14ac:dyDescent="0.35">
      <c r="A1" s="51" t="s">
        <v>2422</v>
      </c>
    </row>
    <row r="3" spans="1:1" ht="18.75" x14ac:dyDescent="0.3">
      <c r="A3" s="50" t="s">
        <v>2423</v>
      </c>
    </row>
    <row r="4" spans="1:1" x14ac:dyDescent="0.25">
      <c r="A4" t="s">
        <v>2424</v>
      </c>
    </row>
    <row r="5" spans="1:1" x14ac:dyDescent="0.25">
      <c r="A5" t="s">
        <v>2425</v>
      </c>
    </row>
    <row r="6" spans="1:1" x14ac:dyDescent="0.25">
      <c r="A6" t="s">
        <v>2432</v>
      </c>
    </row>
    <row r="7" spans="1:1" x14ac:dyDescent="0.25">
      <c r="A7" s="4" t="s">
        <v>2431</v>
      </c>
    </row>
    <row r="9" spans="1:1" ht="18.75" x14ac:dyDescent="0.3">
      <c r="A9" s="50" t="s">
        <v>2426</v>
      </c>
    </row>
    <row r="10" spans="1:1" x14ac:dyDescent="0.25">
      <c r="A10" t="s">
        <v>2479</v>
      </c>
    </row>
    <row r="11" spans="1:1" x14ac:dyDescent="0.25">
      <c r="A11" s="5" t="s">
        <v>2477</v>
      </c>
    </row>
    <row r="12" spans="1:1" x14ac:dyDescent="0.25">
      <c r="A12" t="s">
        <v>2427</v>
      </c>
    </row>
    <row r="13" spans="1:1" x14ac:dyDescent="0.25">
      <c r="A13" t="s">
        <v>2429</v>
      </c>
    </row>
    <row r="15" spans="1:1" ht="18.75" x14ac:dyDescent="0.3">
      <c r="A15" s="50" t="s">
        <v>2428</v>
      </c>
    </row>
    <row r="16" spans="1:1" x14ac:dyDescent="0.25">
      <c r="A16" t="s">
        <v>2468</v>
      </c>
    </row>
    <row r="17" spans="1:1" x14ac:dyDescent="0.25">
      <c r="A17" t="s">
        <v>2469</v>
      </c>
    </row>
    <row r="18" spans="1:1" x14ac:dyDescent="0.25">
      <c r="A18" t="s">
        <v>2465</v>
      </c>
    </row>
    <row r="19" spans="1:1" x14ac:dyDescent="0.25">
      <c r="A19" t="s">
        <v>2466</v>
      </c>
    </row>
    <row r="20" spans="1:1" x14ac:dyDescent="0.25">
      <c r="A20" t="s">
        <v>2470</v>
      </c>
    </row>
    <row r="21" spans="1:1" x14ac:dyDescent="0.25">
      <c r="A21" t="s">
        <v>2467</v>
      </c>
    </row>
    <row r="23" spans="1:1" ht="18.75" x14ac:dyDescent="0.3">
      <c r="A23" s="50" t="s">
        <v>2449</v>
      </c>
    </row>
    <row r="24" spans="1:1" x14ac:dyDescent="0.25">
      <c r="A24" t="s">
        <v>2430</v>
      </c>
    </row>
    <row r="25" spans="1:1" x14ac:dyDescent="0.25">
      <c r="A25" t="s">
        <v>2450</v>
      </c>
    </row>
    <row r="27" spans="1:1" ht="18.75" x14ac:dyDescent="0.3">
      <c r="A27" s="50" t="s">
        <v>2441</v>
      </c>
    </row>
    <row r="28" spans="1:1" x14ac:dyDescent="0.25">
      <c r="A28" t="s">
        <v>2471</v>
      </c>
    </row>
    <row r="29" spans="1:1" x14ac:dyDescent="0.25">
      <c r="A29" t="s">
        <v>2442</v>
      </c>
    </row>
    <row r="30" spans="1:1" x14ac:dyDescent="0.25">
      <c r="A30" s="4" t="s">
        <v>2443</v>
      </c>
    </row>
    <row r="31" spans="1:1" x14ac:dyDescent="0.25">
      <c r="A31" s="4" t="s">
        <v>2444</v>
      </c>
    </row>
    <row r="33" spans="1:1" ht="18.75" x14ac:dyDescent="0.3">
      <c r="A33" s="50" t="s">
        <v>2433</v>
      </c>
    </row>
    <row r="34" spans="1:1" x14ac:dyDescent="0.25">
      <c r="A34" t="s">
        <v>2434</v>
      </c>
    </row>
    <row r="35" spans="1:1" x14ac:dyDescent="0.25">
      <c r="A35" s="4" t="s">
        <v>2435</v>
      </c>
    </row>
    <row r="36" spans="1:1" x14ac:dyDescent="0.25">
      <c r="A36" s="4" t="s">
        <v>2437</v>
      </c>
    </row>
    <row r="38" spans="1:1" ht="18.75" x14ac:dyDescent="0.3">
      <c r="A38" s="50" t="s">
        <v>2438</v>
      </c>
    </row>
    <row r="39" spans="1:1" x14ac:dyDescent="0.25">
      <c r="A39" s="4" t="s">
        <v>2440</v>
      </c>
    </row>
    <row r="40" spans="1:1" ht="45" x14ac:dyDescent="0.25">
      <c r="A40" s="53" t="s">
        <v>2439</v>
      </c>
    </row>
    <row r="42" spans="1:1" ht="18.75" x14ac:dyDescent="0.3">
      <c r="A42" s="50" t="s">
        <v>2445</v>
      </c>
    </row>
    <row r="44" spans="1:1" x14ac:dyDescent="0.25">
      <c r="A44" s="52" t="s">
        <v>2464</v>
      </c>
    </row>
    <row r="45" spans="1:1" x14ac:dyDescent="0.25">
      <c r="A45" t="s">
        <v>2463</v>
      </c>
    </row>
    <row r="46" spans="1:1" x14ac:dyDescent="0.25">
      <c r="A46" s="4" t="s">
        <v>2446</v>
      </c>
    </row>
    <row r="47" spans="1:1" x14ac:dyDescent="0.25">
      <c r="A47" t="s">
        <v>2448</v>
      </c>
    </row>
    <row r="48" spans="1:1" x14ac:dyDescent="0.25">
      <c r="A48" t="s">
        <v>2447</v>
      </c>
    </row>
    <row r="49" spans="1:1" x14ac:dyDescent="0.25">
      <c r="A49" t="s">
        <v>2722</v>
      </c>
    </row>
    <row r="50" spans="1:1" x14ac:dyDescent="0.25">
      <c r="A50" s="4" t="s">
        <v>2721</v>
      </c>
    </row>
    <row r="52" spans="1:1" x14ac:dyDescent="0.25">
      <c r="A52" s="52" t="s">
        <v>2451</v>
      </c>
    </row>
    <row r="53" spans="1:1" x14ac:dyDescent="0.25">
      <c r="A53" t="s">
        <v>2452</v>
      </c>
    </row>
    <row r="54" spans="1:1" x14ac:dyDescent="0.25">
      <c r="A54" s="4" t="s">
        <v>2436</v>
      </c>
    </row>
    <row r="56" spans="1:1" x14ac:dyDescent="0.25">
      <c r="A56" s="52" t="s">
        <v>2478</v>
      </c>
    </row>
    <row r="57" spans="1:1" x14ac:dyDescent="0.25">
      <c r="A57" t="s">
        <v>2455</v>
      </c>
    </row>
    <row r="58" spans="1:1" x14ac:dyDescent="0.25">
      <c r="A58" t="s">
        <v>2453</v>
      </c>
    </row>
    <row r="59" spans="1:1" x14ac:dyDescent="0.25">
      <c r="A59" s="4" t="s">
        <v>2454</v>
      </c>
    </row>
    <row r="61" spans="1:1" x14ac:dyDescent="0.25">
      <c r="A61" s="52" t="s">
        <v>2456</v>
      </c>
    </row>
    <row r="62" spans="1:1" x14ac:dyDescent="0.25">
      <c r="A62" t="s">
        <v>2457</v>
      </c>
    </row>
    <row r="63" spans="1:1" x14ac:dyDescent="0.25">
      <c r="A63" t="s">
        <v>2458</v>
      </c>
    </row>
    <row r="65" spans="1:1" x14ac:dyDescent="0.25">
      <c r="A65" s="52" t="s">
        <v>2459</v>
      </c>
    </row>
    <row r="66" spans="1:1" x14ac:dyDescent="0.25">
      <c r="A66" t="s">
        <v>2461</v>
      </c>
    </row>
    <row r="67" spans="1:1" x14ac:dyDescent="0.25">
      <c r="A67" t="s">
        <v>2460</v>
      </c>
    </row>
  </sheetData>
  <hyperlinks>
    <hyperlink ref="A7" r:id="rId1" xr:uid="{72FA1A16-E374-4DCF-AAF0-D62A84D9D579}"/>
    <hyperlink ref="A35" r:id="rId2" xr:uid="{C23E16FE-EB2B-411A-9F77-C1DB85453BA3}"/>
    <hyperlink ref="A36" r:id="rId3" xr:uid="{5D8D9E99-CB5A-435B-9C14-B5201FF9B1C4}"/>
    <hyperlink ref="A39" r:id="rId4" xr:uid="{B45A472A-45C1-465B-B2B3-F609ECA73EDC}"/>
    <hyperlink ref="A30" r:id="rId5" xr:uid="{2F124C3A-FC33-46A3-819A-FD098947FA3D}"/>
    <hyperlink ref="A31" r:id="rId6" xr:uid="{48765910-7641-459E-B614-78A247005C27}"/>
    <hyperlink ref="A46" r:id="rId7" xr:uid="{A70B0055-F1F9-4B2E-8A02-6DA14076D360}"/>
    <hyperlink ref="A54" r:id="rId8" location="tag/calc-APIs/operation/sap10_calc_sap10_post" xr:uid="{1676916E-37C5-4253-AA2F-C379C65E9D48}"/>
    <hyperlink ref="A59" r:id="rId9" location="section/Authorization" xr:uid="{2255A45A-2109-4E14-9C2D-A0DB88B5BF63}"/>
    <hyperlink ref="A50" r:id="rId10" xr:uid="{1BB558C8-7824-4149-B732-FBC4A49E70C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B8537-4164-4999-AF17-4B93C11AE16D}">
  <sheetPr codeName="Sheet1"/>
  <dimension ref="A1:Q114"/>
  <sheetViews>
    <sheetView showGridLines="0" zoomScale="90" zoomScaleNormal="90" workbookViewId="0">
      <pane ySplit="8" topLeftCell="A9" activePane="bottomLeft" state="frozen"/>
      <selection pane="bottomLeft" activeCell="Q25" sqref="Q25"/>
    </sheetView>
  </sheetViews>
  <sheetFormatPr defaultRowHeight="15" x14ac:dyDescent="0.25"/>
  <cols>
    <col min="1" max="1" width="2.7109375" customWidth="1"/>
    <col min="2" max="9" width="2.7109375" style="1" customWidth="1"/>
    <col min="10" max="10" width="37.28515625" customWidth="1"/>
    <col min="11" max="11" width="41.140625" style="43" hidden="1" customWidth="1"/>
    <col min="12" max="12" width="152" style="43" hidden="1" customWidth="1"/>
    <col min="13" max="13" width="52.85546875" style="43" hidden="1" customWidth="1"/>
    <col min="14" max="14" width="62.5703125" style="6" customWidth="1"/>
    <col min="15" max="15" width="43.42578125" style="43" hidden="1" customWidth="1"/>
    <col min="16" max="16" width="3.85546875" style="7" customWidth="1"/>
    <col min="17" max="20" width="29.7109375" customWidth="1"/>
    <col min="21" max="21" width="18.140625" bestFit="1" customWidth="1"/>
  </cols>
  <sheetData>
    <row r="1" spans="1:17" ht="21" x14ac:dyDescent="0.35">
      <c r="A1" s="3" t="s">
        <v>2408</v>
      </c>
      <c r="B1" s="3"/>
      <c r="C1" s="3"/>
      <c r="D1" s="3"/>
      <c r="E1" s="3"/>
      <c r="F1" s="3"/>
      <c r="G1" s="3"/>
      <c r="H1" s="3"/>
      <c r="I1" s="3"/>
      <c r="J1" s="3"/>
    </row>
    <row r="2" spans="1:17" x14ac:dyDescent="0.25">
      <c r="A2" s="1" t="s">
        <v>2409</v>
      </c>
      <c r="J2" s="1"/>
      <c r="N2" s="48" t="s">
        <v>2410</v>
      </c>
      <c r="O2" s="43" t="s">
        <v>2411</v>
      </c>
    </row>
    <row r="3" spans="1:17" x14ac:dyDescent="0.25">
      <c r="A3" s="1"/>
      <c r="J3" s="1"/>
      <c r="N3" s="49"/>
      <c r="O3" s="43" t="s">
        <v>2410</v>
      </c>
    </row>
    <row r="4" spans="1:17" hidden="1" x14ac:dyDescent="0.25">
      <c r="A4" s="1" t="s">
        <v>2412</v>
      </c>
      <c r="J4" s="1"/>
      <c r="N4" s="47">
        <v>2024</v>
      </c>
      <c r="O4" s="43" t="s">
        <v>2414</v>
      </c>
    </row>
    <row r="5" spans="1:17" hidden="1" x14ac:dyDescent="0.25">
      <c r="A5" s="1" t="s">
        <v>2413</v>
      </c>
      <c r="J5" s="1"/>
      <c r="N5" s="47">
        <v>11</v>
      </c>
    </row>
    <row r="6" spans="1:17" hidden="1" x14ac:dyDescent="0.25">
      <c r="A6" s="1" t="s">
        <v>2415</v>
      </c>
      <c r="J6" s="1"/>
      <c r="N6" s="47">
        <v>27</v>
      </c>
    </row>
    <row r="8" spans="1:17" s="19" customFormat="1" ht="18.75" x14ac:dyDescent="0.3">
      <c r="K8" s="44" t="s">
        <v>2416</v>
      </c>
      <c r="L8" s="44" t="s">
        <v>2417</v>
      </c>
      <c r="M8" s="44" t="s">
        <v>2418</v>
      </c>
      <c r="N8" s="45" t="s">
        <v>2419</v>
      </c>
      <c r="O8" s="43" t="s">
        <v>2420</v>
      </c>
      <c r="P8" s="46"/>
      <c r="Q8" s="19" t="s">
        <v>2421</v>
      </c>
    </row>
    <row r="9" spans="1:17" x14ac:dyDescent="0.25">
      <c r="A9" s="13"/>
      <c r="B9" s="55" t="s">
        <v>928</v>
      </c>
      <c r="C9" s="56"/>
      <c r="D9" s="56"/>
      <c r="E9" s="56"/>
      <c r="F9" s="56"/>
      <c r="G9" s="56"/>
      <c r="H9" s="56"/>
      <c r="I9" s="56"/>
      <c r="K9" s="43" t="s">
        <v>928</v>
      </c>
      <c r="L9" s="43" t="s">
        <v>2472</v>
      </c>
      <c r="M9" s="43" t="s">
        <v>2407</v>
      </c>
      <c r="Q9" t="s">
        <v>31</v>
      </c>
    </row>
    <row r="10" spans="1:17" x14ac:dyDescent="0.25">
      <c r="A10" s="57"/>
      <c r="B10" s="55"/>
      <c r="C10" s="56" t="s">
        <v>2480</v>
      </c>
      <c r="D10" s="56"/>
      <c r="E10" s="56"/>
      <c r="F10" s="56"/>
      <c r="G10" s="56"/>
      <c r="H10" s="56"/>
      <c r="I10" s="56"/>
      <c r="K10" s="43" t="s">
        <v>2480</v>
      </c>
      <c r="L10" s="43" t="s">
        <v>2481</v>
      </c>
      <c r="N10" s="59" t="s">
        <v>2705</v>
      </c>
      <c r="O10" s="43" t="s">
        <v>2482</v>
      </c>
      <c r="Q10" t="s">
        <v>34</v>
      </c>
    </row>
    <row r="11" spans="1:17" x14ac:dyDescent="0.25">
      <c r="A11" s="57"/>
      <c r="B11" s="55"/>
      <c r="C11" s="56" t="s">
        <v>2483</v>
      </c>
      <c r="D11" s="56"/>
      <c r="E11" s="56"/>
      <c r="F11" s="56"/>
      <c r="G11" s="56"/>
      <c r="H11" s="56"/>
      <c r="I11" s="56"/>
      <c r="K11" s="43" t="s">
        <v>2483</v>
      </c>
      <c r="L11" s="43" t="s">
        <v>2487</v>
      </c>
      <c r="N11" s="60" t="s">
        <v>2708</v>
      </c>
      <c r="O11" s="43" t="s">
        <v>2484</v>
      </c>
      <c r="Q11" t="s">
        <v>38</v>
      </c>
    </row>
    <row r="12" spans="1:17" x14ac:dyDescent="0.25">
      <c r="A12" s="57"/>
      <c r="B12" s="55"/>
      <c r="C12" s="56" t="s">
        <v>2485</v>
      </c>
      <c r="D12" s="56"/>
      <c r="E12" s="56"/>
      <c r="F12" s="56"/>
      <c r="G12" s="56"/>
      <c r="H12" s="56"/>
      <c r="I12" s="56"/>
      <c r="K12" s="43" t="s">
        <v>2485</v>
      </c>
      <c r="L12" s="43" t="s">
        <v>2488</v>
      </c>
      <c r="N12"/>
      <c r="Q12" t="s">
        <v>277</v>
      </c>
    </row>
    <row r="13" spans="1:17" x14ac:dyDescent="0.25">
      <c r="A13" s="57"/>
      <c r="B13" s="55"/>
      <c r="C13" s="55"/>
      <c r="D13" s="56" t="s">
        <v>2489</v>
      </c>
      <c r="E13" s="56"/>
      <c r="F13" s="56"/>
      <c r="G13" s="56"/>
      <c r="H13" s="56"/>
      <c r="I13" s="56"/>
      <c r="K13" s="43" t="s">
        <v>2489</v>
      </c>
      <c r="L13" s="43" t="s">
        <v>2490</v>
      </c>
      <c r="N13" s="61" t="s">
        <v>2730</v>
      </c>
      <c r="O13" s="43" t="s">
        <v>2491</v>
      </c>
      <c r="Q13" t="s">
        <v>278</v>
      </c>
    </row>
    <row r="14" spans="1:17" x14ac:dyDescent="0.25">
      <c r="A14" s="57"/>
      <c r="B14" s="55"/>
      <c r="C14" s="55"/>
      <c r="D14" s="56" t="s">
        <v>2492</v>
      </c>
      <c r="E14" s="56"/>
      <c r="F14" s="56"/>
      <c r="G14" s="56"/>
      <c r="H14" s="56"/>
      <c r="I14" s="56"/>
      <c r="K14" s="43" t="s">
        <v>2492</v>
      </c>
      <c r="L14" s="43" t="s">
        <v>2493</v>
      </c>
      <c r="N14"/>
      <c r="Q14" t="s">
        <v>279</v>
      </c>
    </row>
    <row r="15" spans="1:17" x14ac:dyDescent="0.25">
      <c r="A15" s="57"/>
      <c r="B15" s="55"/>
      <c r="C15" s="55"/>
      <c r="D15" s="55"/>
      <c r="E15" s="56" t="s">
        <v>2495</v>
      </c>
      <c r="F15" s="56"/>
      <c r="G15" s="56"/>
      <c r="H15" s="56"/>
      <c r="I15" s="56"/>
      <c r="K15" s="43" t="s">
        <v>2495</v>
      </c>
      <c r="L15" s="43" t="s">
        <v>2496</v>
      </c>
      <c r="N15" s="62" t="s">
        <v>2709</v>
      </c>
      <c r="O15" s="43" t="s">
        <v>2497</v>
      </c>
      <c r="Q15" t="s">
        <v>302</v>
      </c>
    </row>
    <row r="16" spans="1:17" x14ac:dyDescent="0.25">
      <c r="A16" s="57"/>
      <c r="B16" s="55"/>
      <c r="C16" s="55"/>
      <c r="D16" s="55"/>
      <c r="E16" s="56" t="s">
        <v>2498</v>
      </c>
      <c r="F16" s="56"/>
      <c r="G16" s="56"/>
      <c r="H16" s="56"/>
      <c r="I16" s="56"/>
      <c r="K16" s="43" t="s">
        <v>2498</v>
      </c>
      <c r="L16" s="43" t="s">
        <v>2499</v>
      </c>
      <c r="N16" s="64">
        <v>15</v>
      </c>
      <c r="O16" s="43" t="s">
        <v>2500</v>
      </c>
      <c r="Q16" t="s">
        <v>283</v>
      </c>
    </row>
    <row r="17" spans="1:17" x14ac:dyDescent="0.25">
      <c r="A17" s="57"/>
      <c r="B17" s="55"/>
      <c r="C17" s="55"/>
      <c r="D17" s="55"/>
      <c r="E17" s="56" t="s">
        <v>2501</v>
      </c>
      <c r="F17" s="56"/>
      <c r="G17" s="56"/>
      <c r="H17" s="56"/>
      <c r="I17" s="56"/>
      <c r="K17" s="43" t="s">
        <v>2501</v>
      </c>
      <c r="L17" s="43" t="s">
        <v>2502</v>
      </c>
      <c r="N17" s="60" t="s">
        <v>2731</v>
      </c>
      <c r="O17" s="43" t="s">
        <v>2503</v>
      </c>
      <c r="Q17" t="s">
        <v>303</v>
      </c>
    </row>
    <row r="18" spans="1:17" x14ac:dyDescent="0.25">
      <c r="A18" s="57"/>
      <c r="B18" s="55"/>
      <c r="C18" s="55"/>
      <c r="D18" s="55"/>
      <c r="E18" s="56" t="s">
        <v>2504</v>
      </c>
      <c r="F18" s="56"/>
      <c r="G18" s="56"/>
      <c r="H18" s="56"/>
      <c r="I18" s="56"/>
      <c r="K18" s="43" t="s">
        <v>2504</v>
      </c>
      <c r="L18" s="43" t="s">
        <v>2505</v>
      </c>
      <c r="N18"/>
      <c r="Q18" t="s">
        <v>647</v>
      </c>
    </row>
    <row r="19" spans="1:17" x14ac:dyDescent="0.25">
      <c r="A19" s="57"/>
      <c r="B19" s="55"/>
      <c r="C19" s="55"/>
      <c r="D19" s="55"/>
      <c r="E19" s="55"/>
      <c r="F19" s="56" t="s">
        <v>2507</v>
      </c>
      <c r="G19" s="56"/>
      <c r="H19" s="56"/>
      <c r="I19" s="56"/>
      <c r="K19" s="43" t="s">
        <v>2507</v>
      </c>
      <c r="L19" s="43" t="s">
        <v>2508</v>
      </c>
      <c r="N19"/>
      <c r="Q19" t="s">
        <v>648</v>
      </c>
    </row>
    <row r="20" spans="1:17" x14ac:dyDescent="0.25">
      <c r="A20" s="57"/>
      <c r="B20" s="55"/>
      <c r="C20" s="55"/>
      <c r="D20" s="55"/>
      <c r="E20" s="55"/>
      <c r="F20" s="55"/>
      <c r="G20" s="56" t="s">
        <v>2510</v>
      </c>
      <c r="H20" s="56"/>
      <c r="I20" s="56"/>
      <c r="K20" s="43" t="s">
        <v>2510</v>
      </c>
      <c r="L20" s="43" t="s">
        <v>2511</v>
      </c>
      <c r="N20" s="58">
        <v>1</v>
      </c>
      <c r="O20" s="43" t="s">
        <v>2512</v>
      </c>
      <c r="Q20" t="s">
        <v>649</v>
      </c>
    </row>
    <row r="21" spans="1:17" x14ac:dyDescent="0.25">
      <c r="A21" s="57"/>
      <c r="B21" s="55"/>
      <c r="C21" s="55"/>
      <c r="D21" s="55"/>
      <c r="E21" s="55"/>
      <c r="F21" s="55"/>
      <c r="G21" s="56" t="s">
        <v>2513</v>
      </c>
      <c r="H21" s="56"/>
      <c r="I21" s="56"/>
      <c r="K21" s="43" t="s">
        <v>2513</v>
      </c>
      <c r="L21" s="43" t="s">
        <v>2514</v>
      </c>
      <c r="N21"/>
      <c r="Q21" t="s">
        <v>684</v>
      </c>
    </row>
    <row r="22" spans="1:17" x14ac:dyDescent="0.25">
      <c r="A22" s="57"/>
      <c r="B22" s="55"/>
      <c r="C22" s="55"/>
      <c r="D22" s="55"/>
      <c r="E22" s="55"/>
      <c r="F22" s="55"/>
      <c r="G22" s="55"/>
      <c r="H22" s="56" t="s">
        <v>2516</v>
      </c>
      <c r="I22" s="56"/>
      <c r="K22" s="43" t="s">
        <v>2516</v>
      </c>
      <c r="L22" s="43" t="s">
        <v>2517</v>
      </c>
      <c r="N22"/>
      <c r="Q22" t="s">
        <v>685</v>
      </c>
    </row>
    <row r="23" spans="1:17" x14ac:dyDescent="0.25">
      <c r="A23" s="57"/>
      <c r="B23" s="55"/>
      <c r="C23" s="55"/>
      <c r="D23" s="55"/>
      <c r="E23" s="55"/>
      <c r="F23" s="55"/>
      <c r="G23" s="55"/>
      <c r="H23" s="55"/>
      <c r="I23" s="56" t="s">
        <v>2519</v>
      </c>
      <c r="K23" s="43" t="s">
        <v>2519</v>
      </c>
      <c r="L23" s="43" t="s">
        <v>2520</v>
      </c>
      <c r="N23" s="62" t="s">
        <v>2710</v>
      </c>
      <c r="O23" s="43" t="s">
        <v>2521</v>
      </c>
      <c r="Q23" t="s">
        <v>689</v>
      </c>
    </row>
    <row r="24" spans="1:17" x14ac:dyDescent="0.25">
      <c r="A24" s="57"/>
      <c r="B24" s="55"/>
      <c r="C24" s="55"/>
      <c r="D24" s="55"/>
      <c r="E24" s="55"/>
      <c r="F24" s="55"/>
      <c r="G24" s="55"/>
      <c r="H24" s="55"/>
      <c r="I24" s="56" t="s">
        <v>2522</v>
      </c>
      <c r="K24" s="43" t="s">
        <v>2522</v>
      </c>
      <c r="L24" s="43" t="s">
        <v>2523</v>
      </c>
      <c r="N24" s="65" t="s">
        <v>2711</v>
      </c>
      <c r="O24" s="43" t="s">
        <v>2524</v>
      </c>
      <c r="Q24" t="s">
        <v>687</v>
      </c>
    </row>
    <row r="25" spans="1:17" x14ac:dyDescent="0.25">
      <c r="A25" s="57"/>
      <c r="B25" s="55"/>
      <c r="C25" s="55"/>
      <c r="D25" s="55"/>
      <c r="E25" s="55"/>
      <c r="F25" s="55"/>
      <c r="G25" s="55"/>
      <c r="H25" s="55"/>
      <c r="I25" s="56" t="s">
        <v>2525</v>
      </c>
      <c r="K25" s="43" t="s">
        <v>2525</v>
      </c>
      <c r="L25" s="43" t="s">
        <v>2526</v>
      </c>
      <c r="N25" s="64">
        <v>50</v>
      </c>
      <c r="O25" s="43" t="s">
        <v>2527</v>
      </c>
      <c r="Q25" t="s">
        <v>690</v>
      </c>
    </row>
    <row r="26" spans="1:17" x14ac:dyDescent="0.25">
      <c r="A26" s="57"/>
      <c r="B26" s="55"/>
      <c r="C26" s="55"/>
      <c r="D26" s="55"/>
      <c r="E26" s="55"/>
      <c r="F26" s="55"/>
      <c r="G26" s="55"/>
      <c r="H26" s="55"/>
      <c r="I26" s="56" t="s">
        <v>2528</v>
      </c>
      <c r="K26" s="43" t="s">
        <v>2528</v>
      </c>
      <c r="L26" s="43" t="s">
        <v>2529</v>
      </c>
      <c r="N26" s="64">
        <v>3</v>
      </c>
      <c r="O26" s="43" t="s">
        <v>2530</v>
      </c>
      <c r="Q26" t="s">
        <v>691</v>
      </c>
    </row>
    <row r="27" spans="1:17" x14ac:dyDescent="0.25">
      <c r="A27" s="57"/>
      <c r="B27" s="55"/>
      <c r="C27" s="55"/>
      <c r="D27" s="55"/>
      <c r="E27" s="55"/>
      <c r="F27" s="55"/>
      <c r="G27" s="55"/>
      <c r="H27" s="55"/>
      <c r="I27" s="56" t="s">
        <v>2531</v>
      </c>
      <c r="K27" s="43" t="s">
        <v>2531</v>
      </c>
      <c r="L27" s="43" t="s">
        <v>2532</v>
      </c>
      <c r="N27" s="64">
        <v>50</v>
      </c>
      <c r="O27" s="43" t="s">
        <v>2533</v>
      </c>
      <c r="Q27" t="s">
        <v>692</v>
      </c>
    </row>
    <row r="28" spans="1:17" x14ac:dyDescent="0.25">
      <c r="A28" s="57"/>
      <c r="B28" s="55"/>
      <c r="C28" s="55"/>
      <c r="D28" s="55"/>
      <c r="E28" s="55"/>
      <c r="F28" s="55"/>
      <c r="G28" s="55"/>
      <c r="H28" s="55"/>
      <c r="I28" s="56" t="s">
        <v>2534</v>
      </c>
      <c r="K28" s="43" t="s">
        <v>2534</v>
      </c>
      <c r="L28" s="43" t="s">
        <v>2535</v>
      </c>
      <c r="N28" s="64">
        <v>2.68172275581871E-6</v>
      </c>
      <c r="O28" s="43" t="s">
        <v>2536</v>
      </c>
      <c r="Q28" t="s">
        <v>693</v>
      </c>
    </row>
    <row r="29" spans="1:17" x14ac:dyDescent="0.25">
      <c r="A29" s="57"/>
      <c r="B29" s="55"/>
      <c r="C29" s="55"/>
      <c r="D29" s="55"/>
      <c r="E29" s="55"/>
      <c r="F29" s="55"/>
      <c r="G29" s="55"/>
      <c r="H29" s="55"/>
      <c r="I29" s="56" t="s">
        <v>2747</v>
      </c>
      <c r="K29" s="43" t="s">
        <v>2747</v>
      </c>
      <c r="L29" s="43" t="s">
        <v>2748</v>
      </c>
      <c r="N29" s="64">
        <v>100</v>
      </c>
      <c r="O29" s="43" t="s">
        <v>2749</v>
      </c>
      <c r="Q29" t="s">
        <v>694</v>
      </c>
    </row>
    <row r="30" spans="1:17" x14ac:dyDescent="0.25">
      <c r="A30" s="57"/>
      <c r="B30" s="55"/>
      <c r="C30" s="55"/>
      <c r="D30" s="55"/>
      <c r="E30" s="55"/>
      <c r="F30" s="55"/>
      <c r="G30" s="55"/>
      <c r="H30" s="55"/>
      <c r="I30" s="56" t="s">
        <v>2747</v>
      </c>
      <c r="K30" s="43" t="s">
        <v>2747</v>
      </c>
      <c r="L30" s="43" t="s">
        <v>2750</v>
      </c>
      <c r="N30" s="64">
        <v>100</v>
      </c>
      <c r="O30" s="43" t="s">
        <v>2749</v>
      </c>
      <c r="Q30" t="s">
        <v>694</v>
      </c>
    </row>
    <row r="31" spans="1:17" x14ac:dyDescent="0.25">
      <c r="A31" s="57"/>
      <c r="B31" s="55"/>
      <c r="C31" s="55"/>
      <c r="D31" s="55"/>
      <c r="E31" s="55"/>
      <c r="F31" s="55"/>
      <c r="G31" s="55"/>
      <c r="H31" s="55"/>
      <c r="I31" s="56" t="s">
        <v>2747</v>
      </c>
      <c r="K31" s="43" t="s">
        <v>2747</v>
      </c>
      <c r="L31" s="43" t="s">
        <v>2751</v>
      </c>
      <c r="N31" s="63">
        <v>100</v>
      </c>
      <c r="O31" s="43" t="s">
        <v>2749</v>
      </c>
      <c r="Q31" t="s">
        <v>694</v>
      </c>
    </row>
    <row r="32" spans="1:17" hidden="1" x14ac:dyDescent="0.25">
      <c r="A32" s="57"/>
      <c r="B32" s="56"/>
      <c r="C32" s="56"/>
      <c r="D32" s="56"/>
      <c r="E32" s="56"/>
      <c r="F32" s="56"/>
      <c r="G32" s="56"/>
      <c r="H32" s="56"/>
      <c r="I32" s="56"/>
      <c r="N32"/>
      <c r="O32" s="43" t="s">
        <v>2518</v>
      </c>
    </row>
    <row r="33" spans="1:17" hidden="1" x14ac:dyDescent="0.25">
      <c r="A33" s="57"/>
      <c r="B33" s="56"/>
      <c r="C33" s="56"/>
      <c r="D33" s="56"/>
      <c r="E33" s="56"/>
      <c r="F33" s="56"/>
      <c r="G33" s="56"/>
      <c r="H33" s="56"/>
      <c r="I33" s="56"/>
      <c r="N33"/>
      <c r="O33" s="43" t="s">
        <v>2515</v>
      </c>
    </row>
    <row r="34" spans="1:17" x14ac:dyDescent="0.25">
      <c r="A34" s="57"/>
      <c r="B34" s="55"/>
      <c r="C34" s="55"/>
      <c r="D34" s="55"/>
      <c r="E34" s="55"/>
      <c r="F34" s="55"/>
      <c r="G34" s="56" t="s">
        <v>2537</v>
      </c>
      <c r="H34" s="56"/>
      <c r="I34" s="56"/>
      <c r="K34" s="43" t="s">
        <v>2537</v>
      </c>
      <c r="L34" s="43" t="s">
        <v>2538</v>
      </c>
      <c r="N34"/>
      <c r="Q34" t="s">
        <v>716</v>
      </c>
    </row>
    <row r="35" spans="1:17" x14ac:dyDescent="0.25">
      <c r="A35" s="57"/>
      <c r="B35" s="55"/>
      <c r="C35" s="55"/>
      <c r="D35" s="55"/>
      <c r="E35" s="55"/>
      <c r="F35" s="55"/>
      <c r="G35" s="55"/>
      <c r="H35" s="56" t="s">
        <v>2540</v>
      </c>
      <c r="I35" s="56"/>
      <c r="K35" s="43" t="s">
        <v>2540</v>
      </c>
      <c r="L35" s="43" t="s">
        <v>2541</v>
      </c>
      <c r="N35"/>
      <c r="Q35" t="s">
        <v>717</v>
      </c>
    </row>
    <row r="36" spans="1:17" x14ac:dyDescent="0.25">
      <c r="A36" s="57"/>
      <c r="B36" s="55"/>
      <c r="C36" s="55"/>
      <c r="D36" s="55"/>
      <c r="E36" s="55"/>
      <c r="F36" s="55"/>
      <c r="G36" s="55"/>
      <c r="H36" s="55"/>
      <c r="I36" s="56" t="s">
        <v>2543</v>
      </c>
      <c r="K36" s="43" t="s">
        <v>2543</v>
      </c>
      <c r="L36" s="43" t="s">
        <v>2544</v>
      </c>
      <c r="N36" s="62" t="s">
        <v>2732</v>
      </c>
      <c r="O36" s="43" t="s">
        <v>2545</v>
      </c>
      <c r="Q36" t="s">
        <v>720</v>
      </c>
    </row>
    <row r="37" spans="1:17" x14ac:dyDescent="0.25">
      <c r="A37" s="57"/>
      <c r="B37" s="55"/>
      <c r="C37" s="55"/>
      <c r="D37" s="55"/>
      <c r="E37" s="55"/>
      <c r="F37" s="55"/>
      <c r="G37" s="55"/>
      <c r="H37" s="55"/>
      <c r="I37" s="56" t="s">
        <v>2546</v>
      </c>
      <c r="K37" s="43" t="s">
        <v>2546</v>
      </c>
      <c r="L37" s="43" t="s">
        <v>2547</v>
      </c>
      <c r="N37" s="64">
        <v>84.852813742385706</v>
      </c>
      <c r="O37" s="43" t="s">
        <v>2548</v>
      </c>
      <c r="Q37" t="s">
        <v>721</v>
      </c>
    </row>
    <row r="38" spans="1:17" x14ac:dyDescent="0.25">
      <c r="A38" s="57"/>
      <c r="B38" s="55"/>
      <c r="C38" s="55"/>
      <c r="D38" s="55"/>
      <c r="E38" s="55"/>
      <c r="F38" s="55"/>
      <c r="G38" s="55"/>
      <c r="H38" s="55"/>
      <c r="I38" s="56" t="s">
        <v>2534</v>
      </c>
      <c r="K38" s="43" t="s">
        <v>2534</v>
      </c>
      <c r="L38" s="43" t="s">
        <v>2549</v>
      </c>
      <c r="N38" s="64">
        <v>2.68172275581871E-6</v>
      </c>
      <c r="O38" s="43" t="s">
        <v>2536</v>
      </c>
      <c r="Q38" t="s">
        <v>722</v>
      </c>
    </row>
    <row r="39" spans="1:17" x14ac:dyDescent="0.25">
      <c r="A39" s="57"/>
      <c r="B39" s="55"/>
      <c r="C39" s="55"/>
      <c r="D39" s="55"/>
      <c r="E39" s="55"/>
      <c r="F39" s="55"/>
      <c r="G39" s="55"/>
      <c r="H39" s="55"/>
      <c r="I39" s="56" t="s">
        <v>2550</v>
      </c>
      <c r="K39" s="43" t="s">
        <v>2550</v>
      </c>
      <c r="L39" s="43" t="s">
        <v>2551</v>
      </c>
      <c r="N39" s="63" t="s">
        <v>2706</v>
      </c>
      <c r="O39" s="43" t="s">
        <v>2552</v>
      </c>
      <c r="Q39" t="s">
        <v>718</v>
      </c>
    </row>
    <row r="40" spans="1:17" hidden="1" x14ac:dyDescent="0.25">
      <c r="A40" s="57"/>
      <c r="B40" s="56"/>
      <c r="C40" s="56"/>
      <c r="D40" s="56"/>
      <c r="E40" s="56"/>
      <c r="F40" s="56"/>
      <c r="G40" s="56"/>
      <c r="H40" s="56"/>
      <c r="I40" s="56"/>
      <c r="N40"/>
      <c r="O40" s="43" t="s">
        <v>2542</v>
      </c>
    </row>
    <row r="41" spans="1:17" hidden="1" x14ac:dyDescent="0.25">
      <c r="A41" s="57"/>
      <c r="B41" s="56"/>
      <c r="C41" s="56"/>
      <c r="D41" s="56"/>
      <c r="E41" s="56"/>
      <c r="F41" s="56"/>
      <c r="G41" s="56"/>
      <c r="H41" s="56"/>
      <c r="I41" s="56"/>
      <c r="N41"/>
      <c r="O41" s="43" t="s">
        <v>2539</v>
      </c>
    </row>
    <row r="42" spans="1:17" x14ac:dyDescent="0.25">
      <c r="A42" s="57"/>
      <c r="B42" s="55"/>
      <c r="C42" s="55"/>
      <c r="D42" s="55"/>
      <c r="E42" s="55"/>
      <c r="F42" s="55"/>
      <c r="G42" s="56" t="s">
        <v>2553</v>
      </c>
      <c r="H42" s="56"/>
      <c r="I42" s="56"/>
      <c r="K42" s="43" t="s">
        <v>2553</v>
      </c>
      <c r="L42" s="43" t="s">
        <v>2554</v>
      </c>
      <c r="N42"/>
      <c r="Q42" t="s">
        <v>672</v>
      </c>
    </row>
    <row r="43" spans="1:17" x14ac:dyDescent="0.25">
      <c r="A43" s="57"/>
      <c r="B43" s="55"/>
      <c r="C43" s="55"/>
      <c r="D43" s="55"/>
      <c r="E43" s="55"/>
      <c r="F43" s="55"/>
      <c r="G43" s="55"/>
      <c r="H43" s="56" t="s">
        <v>2556</v>
      </c>
      <c r="I43" s="56"/>
      <c r="K43" s="43" t="s">
        <v>2556</v>
      </c>
      <c r="L43" s="43" t="s">
        <v>2557</v>
      </c>
      <c r="N43"/>
      <c r="Q43" t="s">
        <v>674</v>
      </c>
    </row>
    <row r="44" spans="1:17" x14ac:dyDescent="0.25">
      <c r="A44" s="57"/>
      <c r="B44" s="55"/>
      <c r="C44" s="55"/>
      <c r="D44" s="55"/>
      <c r="E44" s="55"/>
      <c r="F44" s="55"/>
      <c r="G44" s="55"/>
      <c r="H44" s="55"/>
      <c r="I44" s="56" t="s">
        <v>2559</v>
      </c>
      <c r="K44" s="43" t="s">
        <v>2559</v>
      </c>
      <c r="L44" s="43" t="s">
        <v>2560</v>
      </c>
      <c r="N44" s="59">
        <v>50</v>
      </c>
      <c r="O44" s="43" t="s">
        <v>2561</v>
      </c>
      <c r="Q44" t="s">
        <v>679</v>
      </c>
    </row>
    <row r="45" spans="1:17" x14ac:dyDescent="0.25">
      <c r="A45" s="57"/>
      <c r="B45" s="55"/>
      <c r="C45" s="55"/>
      <c r="D45" s="55"/>
      <c r="E45" s="55"/>
      <c r="F45" s="55"/>
      <c r="G45" s="55"/>
      <c r="H45" s="55"/>
      <c r="I45" s="56" t="s">
        <v>2534</v>
      </c>
      <c r="K45" s="43" t="s">
        <v>2534</v>
      </c>
      <c r="L45" s="43" t="s">
        <v>2562</v>
      </c>
      <c r="N45" s="64">
        <v>2.68172275581871E-6</v>
      </c>
      <c r="O45" s="43" t="s">
        <v>2536</v>
      </c>
      <c r="Q45" t="s">
        <v>681</v>
      </c>
    </row>
    <row r="46" spans="1:17" x14ac:dyDescent="0.25">
      <c r="A46" s="57"/>
      <c r="B46" s="55"/>
      <c r="C46" s="55"/>
      <c r="D46" s="55"/>
      <c r="E46" s="55"/>
      <c r="F46" s="55"/>
      <c r="G46" s="55"/>
      <c r="H46" s="55"/>
      <c r="I46" s="56" t="s">
        <v>2563</v>
      </c>
      <c r="K46" s="43" t="s">
        <v>2563</v>
      </c>
      <c r="L46" s="43" t="s">
        <v>2564</v>
      </c>
      <c r="N46" s="65" t="s">
        <v>2712</v>
      </c>
      <c r="O46" s="43" t="s">
        <v>2565</v>
      </c>
      <c r="Q46" t="s">
        <v>29</v>
      </c>
    </row>
    <row r="47" spans="1:17" x14ac:dyDescent="0.25">
      <c r="A47" s="57"/>
      <c r="B47" s="55"/>
      <c r="C47" s="55"/>
      <c r="D47" s="55"/>
      <c r="E47" s="55"/>
      <c r="F47" s="55"/>
      <c r="G47" s="55"/>
      <c r="H47" s="55"/>
      <c r="I47" s="56" t="s">
        <v>2550</v>
      </c>
      <c r="K47" s="43" t="s">
        <v>2550</v>
      </c>
      <c r="L47" s="43" t="s">
        <v>2566</v>
      </c>
      <c r="N47" s="63" t="s">
        <v>2733</v>
      </c>
      <c r="O47" s="43" t="s">
        <v>2552</v>
      </c>
      <c r="Q47" t="s">
        <v>675</v>
      </c>
    </row>
    <row r="48" spans="1:17" hidden="1" x14ac:dyDescent="0.25">
      <c r="A48" s="57"/>
      <c r="B48" s="56"/>
      <c r="C48" s="56"/>
      <c r="D48" s="56"/>
      <c r="E48" s="56"/>
      <c r="F48" s="56"/>
      <c r="G48" s="56"/>
      <c r="H48" s="56"/>
      <c r="I48" s="56"/>
      <c r="N48"/>
      <c r="O48" s="43" t="s">
        <v>2558</v>
      </c>
    </row>
    <row r="49" spans="1:17" hidden="1" x14ac:dyDescent="0.25">
      <c r="A49" s="57"/>
      <c r="B49" s="56"/>
      <c r="C49" s="56"/>
      <c r="D49" s="56"/>
      <c r="E49" s="56"/>
      <c r="F49" s="56"/>
      <c r="G49" s="56"/>
      <c r="H49" s="56"/>
      <c r="I49" s="56"/>
      <c r="N49"/>
      <c r="O49" s="43" t="s">
        <v>2555</v>
      </c>
    </row>
    <row r="50" spans="1:17" x14ac:dyDescent="0.25">
      <c r="A50" s="57"/>
      <c r="B50" s="55"/>
      <c r="C50" s="55"/>
      <c r="D50" s="55"/>
      <c r="E50" s="55"/>
      <c r="F50" s="55"/>
      <c r="G50" s="56" t="s">
        <v>2567</v>
      </c>
      <c r="H50" s="56"/>
      <c r="I50" s="56"/>
      <c r="K50" s="43" t="s">
        <v>2567</v>
      </c>
      <c r="L50" s="43" t="s">
        <v>2568</v>
      </c>
      <c r="N50"/>
      <c r="Q50" t="s">
        <v>657</v>
      </c>
    </row>
    <row r="51" spans="1:17" x14ac:dyDescent="0.25">
      <c r="A51" s="57"/>
      <c r="B51" s="55"/>
      <c r="C51" s="55"/>
      <c r="D51" s="55"/>
      <c r="E51" s="55"/>
      <c r="F51" s="55"/>
      <c r="G51" s="55"/>
      <c r="H51" s="56" t="s">
        <v>2570</v>
      </c>
      <c r="I51" s="56"/>
      <c r="K51" s="43" t="s">
        <v>2570</v>
      </c>
      <c r="L51" s="43" t="s">
        <v>2571</v>
      </c>
      <c r="N51"/>
      <c r="Q51" t="s">
        <v>659</v>
      </c>
    </row>
    <row r="52" spans="1:17" x14ac:dyDescent="0.25">
      <c r="A52" s="57"/>
      <c r="B52" s="55"/>
      <c r="C52" s="55"/>
      <c r="D52" s="55"/>
      <c r="E52" s="55"/>
      <c r="F52" s="55"/>
      <c r="G52" s="55"/>
      <c r="H52" s="55"/>
      <c r="I52" s="56" t="s">
        <v>2573</v>
      </c>
      <c r="K52" s="43" t="s">
        <v>2573</v>
      </c>
      <c r="L52" s="43" t="s">
        <v>2574</v>
      </c>
      <c r="N52" s="59" t="s">
        <v>2707</v>
      </c>
      <c r="O52" s="43" t="s">
        <v>2575</v>
      </c>
      <c r="Q52" t="s">
        <v>662</v>
      </c>
    </row>
    <row r="53" spans="1:17" x14ac:dyDescent="0.25">
      <c r="A53" s="57"/>
      <c r="B53" s="55"/>
      <c r="C53" s="55"/>
      <c r="D53" s="55"/>
      <c r="E53" s="55"/>
      <c r="F53" s="55"/>
      <c r="G53" s="55"/>
      <c r="H53" s="55"/>
      <c r="I53" s="56" t="s">
        <v>2576</v>
      </c>
      <c r="K53" s="43" t="s">
        <v>2576</v>
      </c>
      <c r="L53" s="43" t="s">
        <v>2577</v>
      </c>
      <c r="N53" s="64">
        <v>1.5</v>
      </c>
      <c r="O53" s="43" t="s">
        <v>2578</v>
      </c>
      <c r="Q53" t="s">
        <v>669</v>
      </c>
    </row>
    <row r="54" spans="1:17" x14ac:dyDescent="0.25">
      <c r="A54" s="57"/>
      <c r="B54" s="55"/>
      <c r="C54" s="55"/>
      <c r="D54" s="55"/>
      <c r="E54" s="55"/>
      <c r="F54" s="55"/>
      <c r="G54" s="55"/>
      <c r="H54" s="55"/>
      <c r="I54" s="56" t="s">
        <v>2579</v>
      </c>
      <c r="K54" s="43" t="s">
        <v>2579</v>
      </c>
      <c r="L54" s="43" t="s">
        <v>2580</v>
      </c>
      <c r="N54" s="64">
        <v>5</v>
      </c>
      <c r="O54" s="43" t="s">
        <v>2581</v>
      </c>
      <c r="Q54" t="s">
        <v>667</v>
      </c>
    </row>
    <row r="55" spans="1:17" x14ac:dyDescent="0.25">
      <c r="A55" s="57"/>
      <c r="B55" s="55"/>
      <c r="C55" s="55"/>
      <c r="D55" s="55"/>
      <c r="E55" s="55"/>
      <c r="F55" s="55"/>
      <c r="G55" s="55"/>
      <c r="H55" s="55"/>
      <c r="I55" s="56" t="s">
        <v>2582</v>
      </c>
      <c r="K55" s="43" t="s">
        <v>2582</v>
      </c>
      <c r="L55" s="43" t="s">
        <v>2583</v>
      </c>
      <c r="N55" s="64" t="s">
        <v>2706</v>
      </c>
      <c r="O55" s="43" t="s">
        <v>2584</v>
      </c>
      <c r="Q55" t="s">
        <v>664</v>
      </c>
    </row>
    <row r="56" spans="1:17" x14ac:dyDescent="0.25">
      <c r="A56" s="57"/>
      <c r="B56" s="55"/>
      <c r="C56" s="55"/>
      <c r="D56" s="55"/>
      <c r="E56" s="55"/>
      <c r="F56" s="55"/>
      <c r="G56" s="55"/>
      <c r="H56" s="55"/>
      <c r="I56" s="56" t="s">
        <v>2585</v>
      </c>
      <c r="K56" s="43" t="s">
        <v>2585</v>
      </c>
      <c r="L56" s="43" t="s">
        <v>2586</v>
      </c>
      <c r="N56" s="60" t="s">
        <v>2734</v>
      </c>
      <c r="O56" s="43" t="s">
        <v>2587</v>
      </c>
      <c r="Q56" t="s">
        <v>665</v>
      </c>
    </row>
    <row r="57" spans="1:17" hidden="1" x14ac:dyDescent="0.25">
      <c r="A57" s="57"/>
      <c r="B57" s="56"/>
      <c r="C57" s="56"/>
      <c r="D57" s="56"/>
      <c r="E57" s="56"/>
      <c r="F57" s="56"/>
      <c r="G57" s="56"/>
      <c r="H57" s="56"/>
      <c r="I57" s="56"/>
      <c r="N57"/>
      <c r="O57" s="43" t="s">
        <v>2572</v>
      </c>
    </row>
    <row r="58" spans="1:17" hidden="1" x14ac:dyDescent="0.25">
      <c r="A58" s="57"/>
      <c r="B58" s="56"/>
      <c r="C58" s="56"/>
      <c r="D58" s="56"/>
      <c r="E58" s="56"/>
      <c r="F58" s="56"/>
      <c r="G58" s="56"/>
      <c r="H58" s="56"/>
      <c r="I58" s="56"/>
      <c r="N58"/>
      <c r="O58" s="43" t="s">
        <v>2569</v>
      </c>
    </row>
    <row r="59" spans="1:17" x14ac:dyDescent="0.25">
      <c r="A59" s="57"/>
      <c r="B59" s="55"/>
      <c r="C59" s="55"/>
      <c r="D59" s="55"/>
      <c r="E59" s="55"/>
      <c r="F59" s="55"/>
      <c r="G59" s="56" t="s">
        <v>2588</v>
      </c>
      <c r="H59" s="56"/>
      <c r="I59" s="56"/>
      <c r="K59" s="43" t="s">
        <v>2588</v>
      </c>
      <c r="L59" s="43" t="s">
        <v>2589</v>
      </c>
      <c r="N59"/>
      <c r="Q59" t="s">
        <v>698</v>
      </c>
    </row>
    <row r="60" spans="1:17" x14ac:dyDescent="0.25">
      <c r="A60" s="57"/>
      <c r="B60" s="55"/>
      <c r="C60" s="55"/>
      <c r="D60" s="55"/>
      <c r="E60" s="55"/>
      <c r="F60" s="55"/>
      <c r="G60" s="55"/>
      <c r="H60" s="56" t="s">
        <v>2591</v>
      </c>
      <c r="I60" s="56"/>
      <c r="K60" s="43" t="s">
        <v>2591</v>
      </c>
      <c r="L60" s="43" t="s">
        <v>2592</v>
      </c>
      <c r="N60" s="61" t="s">
        <v>2713</v>
      </c>
      <c r="O60" s="43" t="s">
        <v>2593</v>
      </c>
      <c r="Q60" t="s">
        <v>700</v>
      </c>
    </row>
    <row r="61" spans="1:17" hidden="1" x14ac:dyDescent="0.25">
      <c r="A61" s="57"/>
      <c r="B61" s="56"/>
      <c r="C61" s="56"/>
      <c r="D61" s="56"/>
      <c r="E61" s="56"/>
      <c r="F61" s="56"/>
      <c r="G61" s="56"/>
      <c r="H61" s="56"/>
      <c r="I61" s="56"/>
      <c r="N61"/>
      <c r="O61" s="43" t="s">
        <v>2590</v>
      </c>
    </row>
    <row r="62" spans="1:17" hidden="1" x14ac:dyDescent="0.25">
      <c r="A62" s="57"/>
      <c r="B62" s="56"/>
      <c r="C62" s="56"/>
      <c r="D62" s="56"/>
      <c r="E62" s="56"/>
      <c r="F62" s="56"/>
      <c r="G62" s="56"/>
      <c r="H62" s="56"/>
      <c r="I62" s="56"/>
      <c r="N62"/>
      <c r="O62" s="43" t="s">
        <v>2509</v>
      </c>
    </row>
    <row r="63" spans="1:17" hidden="1" x14ac:dyDescent="0.25">
      <c r="A63" s="57"/>
      <c r="B63" s="56"/>
      <c r="C63" s="56"/>
      <c r="D63" s="56"/>
      <c r="E63" s="56"/>
      <c r="F63" s="56"/>
      <c r="G63" s="56"/>
      <c r="H63" s="56"/>
      <c r="I63" s="56"/>
      <c r="N63"/>
      <c r="O63" s="43" t="s">
        <v>2506</v>
      </c>
    </row>
    <row r="64" spans="1:17" x14ac:dyDescent="0.25">
      <c r="A64" s="57"/>
      <c r="B64" s="55"/>
      <c r="C64" s="55"/>
      <c r="D64" s="55"/>
      <c r="E64" s="56" t="s">
        <v>2594</v>
      </c>
      <c r="F64" s="56"/>
      <c r="G64" s="56"/>
      <c r="H64" s="56"/>
      <c r="I64" s="56"/>
      <c r="K64" s="43" t="s">
        <v>2594</v>
      </c>
      <c r="L64" s="43" t="s">
        <v>2595</v>
      </c>
      <c r="N64"/>
      <c r="Q64" t="s">
        <v>726</v>
      </c>
    </row>
    <row r="65" spans="1:17" x14ac:dyDescent="0.25">
      <c r="A65" s="57"/>
      <c r="B65" s="55"/>
      <c r="C65" s="55"/>
      <c r="D65" s="55"/>
      <c r="E65" s="55"/>
      <c r="F65" s="56" t="s">
        <v>2597</v>
      </c>
      <c r="G65" s="56"/>
      <c r="H65" s="56"/>
      <c r="I65" s="56"/>
      <c r="K65" s="43" t="s">
        <v>2597</v>
      </c>
      <c r="L65" s="43" t="s">
        <v>2598</v>
      </c>
      <c r="N65"/>
      <c r="Q65" t="s">
        <v>728</v>
      </c>
    </row>
    <row r="66" spans="1:17" x14ac:dyDescent="0.25">
      <c r="A66" s="57"/>
      <c r="B66" s="55"/>
      <c r="C66" s="55"/>
      <c r="D66" s="55"/>
      <c r="E66" s="55"/>
      <c r="F66" s="55"/>
      <c r="G66" s="56" t="s">
        <v>2550</v>
      </c>
      <c r="H66" s="56"/>
      <c r="I66" s="56"/>
      <c r="K66" s="43" t="s">
        <v>2550</v>
      </c>
      <c r="L66" s="43" t="s">
        <v>2600</v>
      </c>
      <c r="N66" s="59" t="s">
        <v>2707</v>
      </c>
      <c r="O66" s="43" t="s">
        <v>2552</v>
      </c>
      <c r="Q66" t="s">
        <v>729</v>
      </c>
    </row>
    <row r="67" spans="1:17" x14ac:dyDescent="0.25">
      <c r="A67" s="57"/>
      <c r="B67" s="55"/>
      <c r="C67" s="55"/>
      <c r="D67" s="55"/>
      <c r="E67" s="55"/>
      <c r="F67" s="55"/>
      <c r="G67" s="56" t="s">
        <v>2573</v>
      </c>
      <c r="H67" s="56"/>
      <c r="I67" s="56"/>
      <c r="K67" s="43" t="s">
        <v>2573</v>
      </c>
      <c r="L67" s="43" t="s">
        <v>2601</v>
      </c>
      <c r="N67" s="65" t="s">
        <v>2735</v>
      </c>
      <c r="O67" s="43" t="s">
        <v>2575</v>
      </c>
      <c r="Q67" t="s">
        <v>733</v>
      </c>
    </row>
    <row r="68" spans="1:17" x14ac:dyDescent="0.25">
      <c r="A68" s="57"/>
      <c r="B68" s="55"/>
      <c r="C68" s="55"/>
      <c r="D68" s="55"/>
      <c r="E68" s="55"/>
      <c r="F68" s="55"/>
      <c r="G68" s="56" t="s">
        <v>2602</v>
      </c>
      <c r="H68" s="56"/>
      <c r="I68" s="56"/>
      <c r="K68" s="43" t="s">
        <v>2602</v>
      </c>
      <c r="L68" s="43" t="s">
        <v>2603</v>
      </c>
      <c r="N68" s="65" t="s">
        <v>2714</v>
      </c>
      <c r="O68" s="43" t="s">
        <v>2604</v>
      </c>
      <c r="Q68" t="s">
        <v>732</v>
      </c>
    </row>
    <row r="69" spans="1:17" x14ac:dyDescent="0.25">
      <c r="A69" s="57"/>
      <c r="B69" s="55"/>
      <c r="C69" s="55"/>
      <c r="D69" s="55"/>
      <c r="E69" s="55"/>
      <c r="F69" s="55"/>
      <c r="G69" s="56" t="s">
        <v>2534</v>
      </c>
      <c r="H69" s="56"/>
      <c r="I69" s="56"/>
      <c r="K69" s="43" t="s">
        <v>2534</v>
      </c>
      <c r="L69" s="43" t="s">
        <v>2605</v>
      </c>
      <c r="N69" s="64">
        <v>1.5</v>
      </c>
      <c r="O69" s="43" t="s">
        <v>2536</v>
      </c>
      <c r="Q69" t="s">
        <v>748</v>
      </c>
    </row>
    <row r="70" spans="1:17" x14ac:dyDescent="0.25">
      <c r="A70" s="57"/>
      <c r="B70" s="55"/>
      <c r="C70" s="55"/>
      <c r="D70" s="55"/>
      <c r="E70" s="55"/>
      <c r="F70" s="55"/>
      <c r="G70" s="56" t="s">
        <v>2606</v>
      </c>
      <c r="H70" s="56"/>
      <c r="I70" s="56"/>
      <c r="K70" s="43" t="s">
        <v>2606</v>
      </c>
      <c r="L70" s="43" t="s">
        <v>2607</v>
      </c>
      <c r="N70" s="60" t="s">
        <v>2736</v>
      </c>
      <c r="O70" s="43" t="s">
        <v>2608</v>
      </c>
      <c r="Q70" t="s">
        <v>735</v>
      </c>
    </row>
    <row r="71" spans="1:17" hidden="1" x14ac:dyDescent="0.25">
      <c r="A71" s="57"/>
      <c r="B71" s="56"/>
      <c r="C71" s="56"/>
      <c r="D71" s="56"/>
      <c r="E71" s="56"/>
      <c r="F71" s="56"/>
      <c r="G71" s="56"/>
      <c r="H71" s="56"/>
      <c r="I71" s="56"/>
      <c r="N71"/>
      <c r="O71" s="43" t="s">
        <v>2599</v>
      </c>
    </row>
    <row r="72" spans="1:17" hidden="1" x14ac:dyDescent="0.25">
      <c r="A72" s="57"/>
      <c r="B72" s="56"/>
      <c r="C72" s="56"/>
      <c r="D72" s="56"/>
      <c r="E72" s="56"/>
      <c r="F72" s="56"/>
      <c r="G72" s="56"/>
      <c r="H72" s="56"/>
      <c r="I72" s="56"/>
      <c r="N72"/>
      <c r="O72" s="43" t="s">
        <v>2596</v>
      </c>
    </row>
    <row r="73" spans="1:17" x14ac:dyDescent="0.25">
      <c r="A73" s="57"/>
      <c r="B73" s="55"/>
      <c r="C73" s="55"/>
      <c r="D73" s="55"/>
      <c r="E73" s="56" t="s">
        <v>2609</v>
      </c>
      <c r="F73" s="56"/>
      <c r="G73" s="56"/>
      <c r="H73" s="56"/>
      <c r="I73" s="56"/>
      <c r="K73" s="43" t="s">
        <v>2609</v>
      </c>
      <c r="L73" s="43" t="s">
        <v>2610</v>
      </c>
      <c r="N73"/>
      <c r="Q73" t="s">
        <v>319</v>
      </c>
    </row>
    <row r="74" spans="1:17" x14ac:dyDescent="0.25">
      <c r="A74" s="57"/>
      <c r="B74" s="55"/>
      <c r="C74" s="55"/>
      <c r="D74" s="55"/>
      <c r="E74" s="55"/>
      <c r="F74" s="56" t="s">
        <v>2612</v>
      </c>
      <c r="G74" s="56"/>
      <c r="H74" s="56"/>
      <c r="I74" s="56"/>
      <c r="K74" s="43" t="s">
        <v>2612</v>
      </c>
      <c r="L74" s="43" t="s">
        <v>2613</v>
      </c>
      <c r="N74" s="62" t="s">
        <v>2715</v>
      </c>
      <c r="O74" s="43" t="s">
        <v>2614</v>
      </c>
      <c r="Q74" t="s">
        <v>145</v>
      </c>
    </row>
    <row r="75" spans="1:17" x14ac:dyDescent="0.25">
      <c r="A75" s="57"/>
      <c r="B75" s="55"/>
      <c r="C75" s="55"/>
      <c r="D75" s="55"/>
      <c r="E75" s="55"/>
      <c r="F75" s="56" t="s">
        <v>2615</v>
      </c>
      <c r="G75" s="56"/>
      <c r="H75" s="56"/>
      <c r="I75" s="56"/>
      <c r="K75" s="43" t="s">
        <v>2615</v>
      </c>
      <c r="L75" s="43" t="s">
        <v>2616</v>
      </c>
      <c r="N75" s="65" t="s">
        <v>2737</v>
      </c>
      <c r="O75" s="43" t="s">
        <v>2617</v>
      </c>
      <c r="Q75" t="s">
        <v>342</v>
      </c>
    </row>
    <row r="76" spans="1:17" x14ac:dyDescent="0.25">
      <c r="A76" s="57"/>
      <c r="B76" s="55"/>
      <c r="C76" s="55"/>
      <c r="D76" s="55"/>
      <c r="E76" s="55"/>
      <c r="F76" s="56" t="s">
        <v>2618</v>
      </c>
      <c r="G76" s="56"/>
      <c r="H76" s="56"/>
      <c r="I76" s="56"/>
      <c r="K76" s="43" t="s">
        <v>2618</v>
      </c>
      <c r="L76" s="43" t="s">
        <v>2619</v>
      </c>
      <c r="N76" s="65" t="s">
        <v>2737</v>
      </c>
      <c r="O76" s="43" t="s">
        <v>2620</v>
      </c>
      <c r="Q76" t="s">
        <v>325</v>
      </c>
    </row>
    <row r="77" spans="1:17" x14ac:dyDescent="0.25">
      <c r="A77" s="57"/>
      <c r="B77" s="55"/>
      <c r="C77" s="55"/>
      <c r="D77" s="55"/>
      <c r="E77" s="55"/>
      <c r="F77" s="56" t="s">
        <v>2621</v>
      </c>
      <c r="G77" s="56"/>
      <c r="H77" s="56"/>
      <c r="I77" s="56"/>
      <c r="K77" s="43" t="s">
        <v>2621</v>
      </c>
      <c r="L77" s="43" t="s">
        <v>2622</v>
      </c>
      <c r="N77" s="63">
        <v>901</v>
      </c>
      <c r="O77" s="43" t="s">
        <v>2623</v>
      </c>
      <c r="Q77" t="s">
        <v>2738</v>
      </c>
    </row>
    <row r="78" spans="1:17" x14ac:dyDescent="0.25">
      <c r="A78" s="57"/>
      <c r="B78" s="55"/>
      <c r="C78" s="55"/>
      <c r="D78" s="55"/>
      <c r="E78" s="55"/>
      <c r="F78" s="56" t="s">
        <v>2624</v>
      </c>
      <c r="G78" s="56"/>
      <c r="H78" s="56"/>
      <c r="I78" s="56"/>
      <c r="K78" s="43" t="s">
        <v>2624</v>
      </c>
      <c r="L78" s="43" t="s">
        <v>2625</v>
      </c>
      <c r="N78"/>
      <c r="Q78" t="s">
        <v>29</v>
      </c>
    </row>
    <row r="79" spans="1:17" x14ac:dyDescent="0.25">
      <c r="A79" s="57"/>
      <c r="B79" s="55"/>
      <c r="C79" s="55"/>
      <c r="D79" s="55"/>
      <c r="E79" s="55"/>
      <c r="F79" s="55"/>
      <c r="G79" s="56" t="s">
        <v>2627</v>
      </c>
      <c r="H79" s="56"/>
      <c r="I79" s="56"/>
      <c r="K79" s="43" t="s">
        <v>2627</v>
      </c>
      <c r="L79" s="43" t="s">
        <v>2628</v>
      </c>
      <c r="N79"/>
      <c r="Q79" t="s">
        <v>29</v>
      </c>
    </row>
    <row r="80" spans="1:17" x14ac:dyDescent="0.25">
      <c r="A80" s="57"/>
      <c r="B80" s="55"/>
      <c r="C80" s="55"/>
      <c r="D80" s="55"/>
      <c r="E80" s="55"/>
      <c r="F80" s="55"/>
      <c r="G80" s="55"/>
      <c r="H80" s="56" t="s">
        <v>2630</v>
      </c>
      <c r="I80" s="56"/>
      <c r="K80" s="43" t="s">
        <v>2630</v>
      </c>
      <c r="L80" s="43" t="s">
        <v>2631</v>
      </c>
      <c r="N80" s="59">
        <v>1</v>
      </c>
      <c r="O80" s="43" t="s">
        <v>2632</v>
      </c>
      <c r="Q80" t="s">
        <v>433</v>
      </c>
    </row>
    <row r="81" spans="1:17" x14ac:dyDescent="0.25">
      <c r="A81" s="57"/>
      <c r="B81" s="55"/>
      <c r="C81" s="55"/>
      <c r="D81" s="55"/>
      <c r="E81" s="55"/>
      <c r="F81" s="55"/>
      <c r="G81" s="55"/>
      <c r="H81" s="56" t="s">
        <v>2633</v>
      </c>
      <c r="I81" s="56"/>
      <c r="K81" s="43" t="s">
        <v>2633</v>
      </c>
      <c r="L81" s="43" t="s">
        <v>2634</v>
      </c>
      <c r="N81" s="65" t="s">
        <v>2739</v>
      </c>
      <c r="O81" s="43" t="s">
        <v>2635</v>
      </c>
      <c r="Q81" t="s">
        <v>464</v>
      </c>
    </row>
    <row r="82" spans="1:17" x14ac:dyDescent="0.25">
      <c r="A82" s="57"/>
      <c r="B82" s="55"/>
      <c r="C82" s="55"/>
      <c r="D82" s="55"/>
      <c r="E82" s="55"/>
      <c r="F82" s="55"/>
      <c r="G82" s="55"/>
      <c r="H82" s="56" t="s">
        <v>2636</v>
      </c>
      <c r="I82" s="56"/>
      <c r="K82" s="43" t="s">
        <v>2636</v>
      </c>
      <c r="L82" s="43" t="s">
        <v>2637</v>
      </c>
      <c r="N82" s="65" t="s">
        <v>2740</v>
      </c>
      <c r="O82" s="43" t="s">
        <v>2638</v>
      </c>
      <c r="Q82" t="s">
        <v>435</v>
      </c>
    </row>
    <row r="83" spans="1:17" x14ac:dyDescent="0.25">
      <c r="A83" s="57"/>
      <c r="B83" s="55"/>
      <c r="C83" s="55"/>
      <c r="D83" s="55"/>
      <c r="E83" s="55"/>
      <c r="F83" s="55"/>
      <c r="G83" s="55"/>
      <c r="H83" s="56" t="s">
        <v>2639</v>
      </c>
      <c r="I83" s="56"/>
      <c r="K83" s="43" t="s">
        <v>2639</v>
      </c>
      <c r="L83" s="43" t="s">
        <v>2640</v>
      </c>
      <c r="N83" s="65" t="s">
        <v>2741</v>
      </c>
      <c r="O83" s="43" t="s">
        <v>2641</v>
      </c>
      <c r="Q83" t="s">
        <v>437</v>
      </c>
    </row>
    <row r="84" spans="1:17" x14ac:dyDescent="0.25">
      <c r="A84" s="57"/>
      <c r="B84" s="55"/>
      <c r="C84" s="55"/>
      <c r="D84" s="55"/>
      <c r="E84" s="55"/>
      <c r="F84" s="55"/>
      <c r="G84" s="55"/>
      <c r="H84" s="56" t="s">
        <v>2642</v>
      </c>
      <c r="I84" s="56"/>
      <c r="K84" s="43" t="s">
        <v>2642</v>
      </c>
      <c r="L84" s="43" t="s">
        <v>2643</v>
      </c>
      <c r="N84" s="64">
        <v>104</v>
      </c>
      <c r="O84" s="43" t="s">
        <v>2644</v>
      </c>
      <c r="Q84" t="s">
        <v>2742</v>
      </c>
    </row>
    <row r="85" spans="1:17" x14ac:dyDescent="0.25">
      <c r="A85" s="57"/>
      <c r="B85" s="55"/>
      <c r="C85" s="55"/>
      <c r="D85" s="55"/>
      <c r="E85" s="55"/>
      <c r="F85" s="55"/>
      <c r="G85" s="55"/>
      <c r="H85" s="56" t="s">
        <v>2645</v>
      </c>
      <c r="I85" s="56"/>
      <c r="K85" s="43" t="s">
        <v>2645</v>
      </c>
      <c r="L85" s="43" t="s">
        <v>2646</v>
      </c>
      <c r="N85" s="65" t="s">
        <v>2716</v>
      </c>
      <c r="O85" s="43" t="s">
        <v>2647</v>
      </c>
      <c r="Q85" t="s">
        <v>477</v>
      </c>
    </row>
    <row r="86" spans="1:17" x14ac:dyDescent="0.25">
      <c r="A86" s="57"/>
      <c r="B86" s="55"/>
      <c r="C86" s="55"/>
      <c r="D86" s="55"/>
      <c r="E86" s="55"/>
      <c r="F86" s="55"/>
      <c r="G86" s="55"/>
      <c r="H86" s="56" t="s">
        <v>2648</v>
      </c>
      <c r="I86" s="56"/>
      <c r="K86" s="43" t="s">
        <v>2648</v>
      </c>
      <c r="L86" s="43" t="s">
        <v>2649</v>
      </c>
      <c r="N86" s="64">
        <v>1</v>
      </c>
      <c r="O86" s="43" t="s">
        <v>2650</v>
      </c>
      <c r="Q86" t="s">
        <v>491</v>
      </c>
    </row>
    <row r="87" spans="1:17" x14ac:dyDescent="0.25">
      <c r="A87" s="57"/>
      <c r="B87" s="55"/>
      <c r="C87" s="55"/>
      <c r="D87" s="55"/>
      <c r="E87" s="55"/>
      <c r="F87" s="55"/>
      <c r="G87" s="55"/>
      <c r="H87" s="56" t="s">
        <v>2651</v>
      </c>
      <c r="I87" s="56"/>
      <c r="K87" s="43" t="s">
        <v>2651</v>
      </c>
      <c r="L87" s="43" t="s">
        <v>2652</v>
      </c>
      <c r="N87" s="65" t="s">
        <v>2717</v>
      </c>
      <c r="O87" s="43" t="s">
        <v>2653</v>
      </c>
      <c r="Q87" t="s">
        <v>469</v>
      </c>
    </row>
    <row r="88" spans="1:17" x14ac:dyDescent="0.25">
      <c r="A88" s="57"/>
      <c r="B88" s="55"/>
      <c r="C88" s="55"/>
      <c r="D88" s="55"/>
      <c r="E88" s="55"/>
      <c r="F88" s="55"/>
      <c r="G88" s="55"/>
      <c r="H88" s="56" t="s">
        <v>2654</v>
      </c>
      <c r="I88" s="56"/>
      <c r="K88" s="43" t="s">
        <v>2654</v>
      </c>
      <c r="L88" s="43" t="s">
        <v>2655</v>
      </c>
      <c r="N88" s="64">
        <v>2106</v>
      </c>
      <c r="O88" s="43" t="s">
        <v>2656</v>
      </c>
      <c r="Q88" t="s">
        <v>2743</v>
      </c>
    </row>
    <row r="89" spans="1:17" x14ac:dyDescent="0.25">
      <c r="A89" s="57"/>
      <c r="B89" s="55"/>
      <c r="C89" s="55"/>
      <c r="D89" s="55"/>
      <c r="E89" s="55"/>
      <c r="F89" s="55"/>
      <c r="G89" s="55"/>
      <c r="H89" s="56" t="s">
        <v>2657</v>
      </c>
      <c r="I89" s="56"/>
      <c r="K89" s="43" t="s">
        <v>2657</v>
      </c>
      <c r="L89" s="43" t="s">
        <v>2658</v>
      </c>
      <c r="N89" s="65" t="s">
        <v>2715</v>
      </c>
      <c r="O89" s="43" t="s">
        <v>2659</v>
      </c>
      <c r="Q89" t="s">
        <v>483</v>
      </c>
    </row>
    <row r="90" spans="1:17" x14ac:dyDescent="0.25">
      <c r="A90" s="57"/>
      <c r="B90" s="55"/>
      <c r="C90" s="55"/>
      <c r="D90" s="55"/>
      <c r="E90" s="55"/>
      <c r="F90" s="55"/>
      <c r="G90" s="55"/>
      <c r="H90" s="56" t="s">
        <v>2660</v>
      </c>
      <c r="I90" s="56"/>
      <c r="K90" s="43" t="s">
        <v>2660</v>
      </c>
      <c r="L90" s="43" t="s">
        <v>2661</v>
      </c>
      <c r="N90" s="60" t="s">
        <v>2715</v>
      </c>
      <c r="O90" s="43" t="s">
        <v>2662</v>
      </c>
      <c r="Q90" t="s">
        <v>481</v>
      </c>
    </row>
    <row r="91" spans="1:17" hidden="1" x14ac:dyDescent="0.25">
      <c r="A91" s="57"/>
      <c r="B91" s="56"/>
      <c r="C91" s="56"/>
      <c r="D91" s="56"/>
      <c r="E91" s="56"/>
      <c r="F91" s="56"/>
      <c r="G91" s="56"/>
      <c r="H91" s="56"/>
      <c r="I91" s="56"/>
      <c r="N91"/>
      <c r="O91" s="43" t="s">
        <v>2629</v>
      </c>
    </row>
    <row r="92" spans="1:17" hidden="1" x14ac:dyDescent="0.25">
      <c r="A92" s="57"/>
      <c r="B92" s="56"/>
      <c r="C92" s="56"/>
      <c r="D92" s="56"/>
      <c r="E92" s="56"/>
      <c r="F92" s="56"/>
      <c r="G92" s="56"/>
      <c r="H92" s="56"/>
      <c r="I92" s="56"/>
      <c r="N92"/>
      <c r="O92" s="43" t="s">
        <v>2626</v>
      </c>
    </row>
    <row r="93" spans="1:17" hidden="1" x14ac:dyDescent="0.25">
      <c r="A93" s="57"/>
      <c r="B93" s="56"/>
      <c r="C93" s="56"/>
      <c r="D93" s="56"/>
      <c r="E93" s="56"/>
      <c r="F93" s="56"/>
      <c r="G93" s="56"/>
      <c r="H93" s="56"/>
      <c r="I93" s="56"/>
      <c r="N93"/>
      <c r="O93" s="43" t="s">
        <v>2611</v>
      </c>
    </row>
    <row r="94" spans="1:17" x14ac:dyDescent="0.25">
      <c r="A94" s="57"/>
      <c r="B94" s="55"/>
      <c r="C94" s="55"/>
      <c r="D94" s="55"/>
      <c r="E94" s="56" t="s">
        <v>2663</v>
      </c>
      <c r="F94" s="56"/>
      <c r="G94" s="56"/>
      <c r="H94" s="56"/>
      <c r="I94" s="56"/>
      <c r="K94" s="43" t="s">
        <v>2663</v>
      </c>
      <c r="L94" s="43" t="s">
        <v>2664</v>
      </c>
      <c r="N94"/>
      <c r="Q94" t="s">
        <v>750</v>
      </c>
    </row>
    <row r="95" spans="1:17" x14ac:dyDescent="0.25">
      <c r="A95" s="57"/>
      <c r="B95" s="55"/>
      <c r="C95" s="55"/>
      <c r="D95" s="55"/>
      <c r="E95" s="55"/>
      <c r="F95" s="56" t="s">
        <v>2666</v>
      </c>
      <c r="G95" s="56"/>
      <c r="H95" s="56"/>
      <c r="I95" s="56"/>
      <c r="K95" s="43" t="s">
        <v>2666</v>
      </c>
      <c r="L95" s="43" t="s">
        <v>2667</v>
      </c>
      <c r="N95" s="59">
        <v>0</v>
      </c>
      <c r="O95" s="43" t="s">
        <v>2668</v>
      </c>
      <c r="Q95" t="s">
        <v>760</v>
      </c>
    </row>
    <row r="96" spans="1:17" x14ac:dyDescent="0.25">
      <c r="A96" s="57"/>
      <c r="B96" s="55"/>
      <c r="C96" s="55"/>
      <c r="D96" s="55"/>
      <c r="E96" s="55"/>
      <c r="F96" s="56" t="s">
        <v>2669</v>
      </c>
      <c r="G96" s="56"/>
      <c r="H96" s="56"/>
      <c r="I96" s="56"/>
      <c r="K96" s="43" t="s">
        <v>2669</v>
      </c>
      <c r="L96" s="43" t="s">
        <v>2670</v>
      </c>
      <c r="N96" s="64">
        <v>0</v>
      </c>
      <c r="O96" s="43" t="s">
        <v>2671</v>
      </c>
      <c r="Q96" t="s">
        <v>754</v>
      </c>
    </row>
    <row r="97" spans="1:17" x14ac:dyDescent="0.25">
      <c r="A97" s="57"/>
      <c r="B97" s="55"/>
      <c r="C97" s="55"/>
      <c r="D97" s="55"/>
      <c r="E97" s="55"/>
      <c r="F97" s="56" t="s">
        <v>2672</v>
      </c>
      <c r="G97" s="56"/>
      <c r="H97" s="56"/>
      <c r="I97" s="56"/>
      <c r="K97" s="43" t="s">
        <v>2672</v>
      </c>
      <c r="L97" s="43" t="s">
        <v>2673</v>
      </c>
      <c r="N97" s="64">
        <v>0</v>
      </c>
      <c r="O97" s="43" t="s">
        <v>2674</v>
      </c>
      <c r="Q97" t="s">
        <v>752</v>
      </c>
    </row>
    <row r="98" spans="1:17" x14ac:dyDescent="0.25">
      <c r="A98" s="57"/>
      <c r="B98" s="55"/>
      <c r="C98" s="55"/>
      <c r="D98" s="55"/>
      <c r="E98" s="55"/>
      <c r="F98" s="56" t="s">
        <v>2675</v>
      </c>
      <c r="G98" s="56"/>
      <c r="H98" s="56"/>
      <c r="I98" s="56"/>
      <c r="K98" s="43" t="s">
        <v>2675</v>
      </c>
      <c r="L98" s="43" t="s">
        <v>2676</v>
      </c>
      <c r="N98" s="64">
        <v>0</v>
      </c>
      <c r="O98" s="43" t="s">
        <v>2677</v>
      </c>
      <c r="Q98" t="s">
        <v>756</v>
      </c>
    </row>
    <row r="99" spans="1:17" x14ac:dyDescent="0.25">
      <c r="A99" s="57"/>
      <c r="B99" s="55"/>
      <c r="C99" s="55"/>
      <c r="D99" s="55"/>
      <c r="E99" s="55"/>
      <c r="F99" s="56" t="s">
        <v>2678</v>
      </c>
      <c r="G99" s="56"/>
      <c r="H99" s="56"/>
      <c r="I99" s="56"/>
      <c r="K99" s="43" t="s">
        <v>2678</v>
      </c>
      <c r="L99" s="43" t="s">
        <v>2679</v>
      </c>
      <c r="N99" s="64">
        <v>0</v>
      </c>
      <c r="O99" s="43" t="s">
        <v>2680</v>
      </c>
      <c r="Q99" t="s">
        <v>758</v>
      </c>
    </row>
    <row r="100" spans="1:17" x14ac:dyDescent="0.25">
      <c r="A100" s="57"/>
      <c r="B100" s="55"/>
      <c r="C100" s="55"/>
      <c r="D100" s="55"/>
      <c r="E100" s="55"/>
      <c r="F100" s="56" t="s">
        <v>2681</v>
      </c>
      <c r="G100" s="56"/>
      <c r="H100" s="56"/>
      <c r="I100" s="56"/>
      <c r="K100" s="43" t="s">
        <v>2681</v>
      </c>
      <c r="L100" s="43" t="s">
        <v>2682</v>
      </c>
      <c r="N100" s="64">
        <v>0</v>
      </c>
      <c r="O100" s="43" t="s">
        <v>2683</v>
      </c>
      <c r="Q100" t="s">
        <v>762</v>
      </c>
    </row>
    <row r="101" spans="1:17" x14ac:dyDescent="0.25">
      <c r="A101" s="57"/>
      <c r="B101" s="55"/>
      <c r="C101" s="55"/>
      <c r="D101" s="55"/>
      <c r="E101" s="55"/>
      <c r="F101" s="56" t="s">
        <v>2684</v>
      </c>
      <c r="G101" s="56"/>
      <c r="H101" s="56"/>
      <c r="I101" s="56"/>
      <c r="K101" s="43" t="s">
        <v>2684</v>
      </c>
      <c r="L101" s="43" t="s">
        <v>2685</v>
      </c>
      <c r="N101" s="64">
        <v>0</v>
      </c>
      <c r="O101" s="43" t="s">
        <v>2686</v>
      </c>
      <c r="Q101" t="s">
        <v>29</v>
      </c>
    </row>
    <row r="102" spans="1:17" x14ac:dyDescent="0.25">
      <c r="A102" s="57"/>
      <c r="B102" s="55"/>
      <c r="C102" s="55"/>
      <c r="D102" s="55"/>
      <c r="E102" s="55"/>
      <c r="F102" s="56" t="s">
        <v>2687</v>
      </c>
      <c r="G102" s="56"/>
      <c r="H102" s="56"/>
      <c r="I102" s="56"/>
      <c r="K102" s="43" t="s">
        <v>2687</v>
      </c>
      <c r="L102" s="43" t="s">
        <v>2688</v>
      </c>
      <c r="N102" s="64">
        <v>0</v>
      </c>
      <c r="O102" s="43" t="s">
        <v>2689</v>
      </c>
      <c r="Q102" t="s">
        <v>29</v>
      </c>
    </row>
    <row r="103" spans="1:17" x14ac:dyDescent="0.25">
      <c r="A103" s="57"/>
      <c r="B103" s="55"/>
      <c r="C103" s="55"/>
      <c r="D103" s="55"/>
      <c r="E103" s="55"/>
      <c r="F103" s="56" t="s">
        <v>2690</v>
      </c>
      <c r="G103" s="56"/>
      <c r="H103" s="56"/>
      <c r="I103" s="56"/>
      <c r="K103" s="43" t="s">
        <v>2690</v>
      </c>
      <c r="L103" s="43" t="s">
        <v>2691</v>
      </c>
      <c r="N103" s="64">
        <v>0</v>
      </c>
      <c r="O103" s="43" t="s">
        <v>2692</v>
      </c>
      <c r="Q103" t="s">
        <v>765</v>
      </c>
    </row>
    <row r="104" spans="1:17" x14ac:dyDescent="0.25">
      <c r="A104" s="57"/>
      <c r="B104" s="55"/>
      <c r="C104" s="55"/>
      <c r="D104" s="55"/>
      <c r="E104" s="55"/>
      <c r="F104" s="56" t="s">
        <v>2693</v>
      </c>
      <c r="G104" s="56"/>
      <c r="H104" s="56"/>
      <c r="I104" s="56"/>
      <c r="K104" s="43" t="s">
        <v>2693</v>
      </c>
      <c r="L104" s="43" t="s">
        <v>2694</v>
      </c>
      <c r="N104" s="65" t="s">
        <v>2723</v>
      </c>
      <c r="O104" s="43" t="s">
        <v>2695</v>
      </c>
      <c r="Q104" t="s">
        <v>767</v>
      </c>
    </row>
    <row r="105" spans="1:17" x14ac:dyDescent="0.25">
      <c r="A105" s="57"/>
      <c r="B105" s="55"/>
      <c r="C105" s="55"/>
      <c r="D105" s="55"/>
      <c r="E105" s="55"/>
      <c r="F105" s="56" t="s">
        <v>2696</v>
      </c>
      <c r="G105" s="56"/>
      <c r="H105" s="56"/>
      <c r="I105" s="56"/>
      <c r="K105" s="43" t="s">
        <v>2696</v>
      </c>
      <c r="L105" s="43" t="s">
        <v>2697</v>
      </c>
      <c r="N105" s="64">
        <v>1.8772059290730998E-5</v>
      </c>
      <c r="O105" s="43" t="s">
        <v>2698</v>
      </c>
      <c r="Q105" t="s">
        <v>771</v>
      </c>
    </row>
    <row r="106" spans="1:17" x14ac:dyDescent="0.25">
      <c r="A106" s="57"/>
      <c r="B106" s="55"/>
      <c r="C106" s="55"/>
      <c r="D106" s="55"/>
      <c r="E106" s="55"/>
      <c r="F106" s="56" t="s">
        <v>2699</v>
      </c>
      <c r="G106" s="56"/>
      <c r="H106" s="56"/>
      <c r="I106" s="56"/>
      <c r="K106" s="43" t="s">
        <v>2699</v>
      </c>
      <c r="L106" s="43" t="s">
        <v>2700</v>
      </c>
      <c r="N106" s="64">
        <v>0</v>
      </c>
      <c r="O106" s="43" t="s">
        <v>2701</v>
      </c>
      <c r="Q106" t="s">
        <v>780</v>
      </c>
    </row>
    <row r="107" spans="1:17" x14ac:dyDescent="0.25">
      <c r="A107" s="57"/>
      <c r="B107" s="55"/>
      <c r="C107" s="55"/>
      <c r="D107" s="55"/>
      <c r="E107" s="55"/>
      <c r="F107" s="56" t="s">
        <v>2702</v>
      </c>
      <c r="G107" s="56"/>
      <c r="H107" s="56"/>
      <c r="I107" s="56"/>
      <c r="K107" s="43" t="s">
        <v>2702</v>
      </c>
      <c r="L107" s="43" t="s">
        <v>2703</v>
      </c>
      <c r="N107" s="60" t="s">
        <v>2718</v>
      </c>
      <c r="O107" s="43" t="s">
        <v>2704</v>
      </c>
      <c r="Q107" t="s">
        <v>782</v>
      </c>
    </row>
    <row r="108" spans="1:17" hidden="1" x14ac:dyDescent="0.25">
      <c r="A108" s="57"/>
      <c r="B108" s="56"/>
      <c r="C108" s="56"/>
      <c r="D108" s="56"/>
      <c r="E108" s="56"/>
      <c r="F108" s="56"/>
      <c r="G108" s="56"/>
      <c r="H108" s="56"/>
      <c r="I108" s="56"/>
      <c r="N108"/>
      <c r="O108" s="43" t="s">
        <v>2665</v>
      </c>
    </row>
    <row r="109" spans="1:17" x14ac:dyDescent="0.25">
      <c r="A109" s="57"/>
      <c r="B109" s="55"/>
      <c r="C109" s="55"/>
      <c r="D109" s="55"/>
      <c r="E109" s="56" t="s">
        <v>2724</v>
      </c>
      <c r="F109" s="56"/>
      <c r="G109" s="56"/>
      <c r="H109" s="56"/>
      <c r="I109" s="56"/>
      <c r="K109" s="43" t="s">
        <v>2724</v>
      </c>
      <c r="L109" s="43" t="s">
        <v>2725</v>
      </c>
      <c r="N109"/>
      <c r="Q109" t="s">
        <v>506</v>
      </c>
    </row>
    <row r="110" spans="1:17" x14ac:dyDescent="0.25">
      <c r="A110" s="57"/>
      <c r="B110" s="55"/>
      <c r="C110" s="55"/>
      <c r="D110" s="55"/>
      <c r="E110" s="55"/>
      <c r="F110" s="56" t="s">
        <v>2727</v>
      </c>
      <c r="G110" s="56"/>
      <c r="H110" s="56"/>
      <c r="I110" s="56"/>
      <c r="K110" s="43" t="s">
        <v>2727</v>
      </c>
      <c r="L110" s="43" t="s">
        <v>2728</v>
      </c>
      <c r="N110" s="61" t="s">
        <v>2744</v>
      </c>
      <c r="O110" s="43" t="s">
        <v>2729</v>
      </c>
      <c r="Q110" t="s">
        <v>535</v>
      </c>
    </row>
    <row r="111" spans="1:17" hidden="1" x14ac:dyDescent="0.25">
      <c r="A111" s="57"/>
      <c r="B111" s="56"/>
      <c r="C111" s="56"/>
      <c r="D111" s="56"/>
      <c r="E111" s="56"/>
      <c r="F111" s="56"/>
      <c r="G111" s="56"/>
      <c r="H111" s="56"/>
      <c r="I111" s="56"/>
      <c r="N111"/>
      <c r="O111" s="43" t="s">
        <v>2726</v>
      </c>
    </row>
    <row r="112" spans="1:17" hidden="1" x14ac:dyDescent="0.25">
      <c r="A112" s="57"/>
      <c r="B112" s="56"/>
      <c r="C112" s="56"/>
      <c r="D112" s="56"/>
      <c r="E112" s="56"/>
      <c r="F112" s="56"/>
      <c r="G112" s="56"/>
      <c r="H112" s="56"/>
      <c r="I112" s="56"/>
      <c r="N112"/>
      <c r="O112" s="43" t="s">
        <v>2494</v>
      </c>
    </row>
    <row r="113" spans="1:15" hidden="1" x14ac:dyDescent="0.25">
      <c r="A113" s="57"/>
      <c r="B113" s="56"/>
      <c r="C113" s="56"/>
      <c r="D113" s="56"/>
      <c r="E113" s="56"/>
      <c r="F113" s="56"/>
      <c r="G113" s="56"/>
      <c r="H113" s="56"/>
      <c r="I113" s="56"/>
      <c r="N113"/>
      <c r="O113" s="43" t="s">
        <v>2486</v>
      </c>
    </row>
    <row r="114" spans="1:15" hidden="1" x14ac:dyDescent="0.25">
      <c r="A114" s="57"/>
      <c r="B114" s="56"/>
      <c r="C114" s="56"/>
      <c r="D114" s="56"/>
      <c r="E114" s="56"/>
      <c r="F114" s="56"/>
      <c r="G114" s="56"/>
      <c r="H114" s="56"/>
      <c r="I114" s="56"/>
      <c r="N114"/>
      <c r="O114" s="43" t="s">
        <v>0</v>
      </c>
    </row>
  </sheetData>
  <dataConsolidate/>
  <phoneticPr fontId="1" type="noConversion"/>
  <dataValidations count="1">
    <dataValidation type="list" allowBlank="1" showInputMessage="1" showErrorMessage="1" sqref="N2" xr:uid="{EAA432C4-461C-48CE-96F6-FC81B05413BB}">
      <formula1>$O$2:$O$4</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6">
        <x14:dataValidation type="list" allowBlank="1" showInputMessage="1" showErrorMessage="1" xr:uid="{20381CBC-0BB7-4106-BF57-5E5004782120}">
          <x14:formula1>
            <xm:f>XMLSchema_Info!$J$6:$Q$6</xm:f>
          </x14:formula1>
          <xm:sqref>N11</xm:sqref>
        </x14:dataValidation>
        <x14:dataValidation type="list" allowBlank="1" showInputMessage="1" showErrorMessage="1" xr:uid="{B124B738-74E3-4F56-A0C9-D5AD3A76AD1F}">
          <x14:formula1>
            <xm:f>XMLSchema_Info!$J$195:$O$195</xm:f>
          </x14:formula1>
          <xm:sqref>N13</xm:sqref>
        </x14:dataValidation>
        <x14:dataValidation type="list" allowBlank="1" showInputMessage="1" showErrorMessage="1" xr:uid="{5B5C57B2-DAB1-4889-A0E6-503D59364156}">
          <x14:formula1>
            <xm:f>XMLSchema_Info!$J$211:$K$211</xm:f>
          </x14:formula1>
          <xm:sqref>N15</xm:sqref>
        </x14:dataValidation>
        <x14:dataValidation type="list" allowBlank="1" showInputMessage="1" showErrorMessage="1" xr:uid="{E750B44E-D75A-4B40-AB64-E451D87EEA31}">
          <x14:formula1>
            <xm:f>XMLSchema_Info!$J$212:$M$212</xm:f>
          </x14:formula1>
          <xm:sqref>N17</xm:sqref>
        </x14:dataValidation>
        <x14:dataValidation type="list" allowBlank="1" showInputMessage="1" showErrorMessage="1" xr:uid="{6C6EB28E-2426-4D6D-8410-7696CC862EDE}">
          <x14:formula1>
            <xm:f>XMLSchema_Info!$J$473:$M$473</xm:f>
          </x14:formula1>
          <xm:sqref>N23</xm:sqref>
        </x14:dataValidation>
        <x14:dataValidation type="list" allowBlank="1" showInputMessage="1" showErrorMessage="1" xr:uid="{9AACD3F4-60D5-4AC9-9104-710F7A7ABE67}">
          <x14:formula1>
            <xm:f>XMLSchema_Info!$J$471:$R$471</xm:f>
          </x14:formula1>
          <xm:sqref>N24</xm:sqref>
        </x14:dataValidation>
        <x14:dataValidation type="list" allowBlank="1" showInputMessage="1" showErrorMessage="1" xr:uid="{4E1D76A8-7232-4ECB-A043-E0DB66FE8ED9}">
          <x14:formula1>
            <xm:f>XMLSchema_Info!$J$494:$N$494</xm:f>
          </x14:formula1>
          <xm:sqref>N36</xm:sqref>
        </x14:dataValidation>
        <x14:dataValidation type="list" allowBlank="1" showInputMessage="1" showErrorMessage="1" xr:uid="{80330C34-49AB-4F77-80B2-A4F79769BC31}">
          <x14:formula1>
            <xm:f>XMLSchema_Info!$J$464:$K$464</xm:f>
          </x14:formula1>
          <xm:sqref>N46</xm:sqref>
        </x14:dataValidation>
        <x14:dataValidation type="list" allowBlank="1" showInputMessage="1" showErrorMessage="1" xr:uid="{4135E4CD-EB16-41BA-896F-1C323454CEAA}">
          <x14:formula1>
            <xm:f>XMLSchema_Info!$J$456:$S$456</xm:f>
          </x14:formula1>
          <xm:sqref>N56</xm:sqref>
        </x14:dataValidation>
        <x14:dataValidation type="list" allowBlank="1" showInputMessage="1" showErrorMessage="1" xr:uid="{8B90DFDD-FAB0-4AC9-A201-1C3ED8C156CB}">
          <x14:formula1>
            <xm:f>XMLSchema_Info!$J$481:$N$481</xm:f>
          </x14:formula1>
          <xm:sqref>N60</xm:sqref>
        </x14:dataValidation>
        <x14:dataValidation type="list" allowBlank="1" showInputMessage="1" showErrorMessage="1" xr:uid="{6A6BAEF6-65E4-411E-8B73-4735844D38F2}">
          <x14:formula1>
            <xm:f>XMLSchema_Info!$J$504:$O$504</xm:f>
          </x14:formula1>
          <xm:sqref>N67</xm:sqref>
        </x14:dataValidation>
        <x14:dataValidation type="list" allowBlank="1" showInputMessage="1" showErrorMessage="1" xr:uid="{98C01D21-A1CA-4009-8D0E-D3B44536CF23}">
          <x14:formula1>
            <xm:f>XMLSchema_Info!$J$503:$L$503</xm:f>
          </x14:formula1>
          <xm:sqref>N68</xm:sqref>
        </x14:dataValidation>
        <x14:dataValidation type="list" allowBlank="1" showInputMessage="1" showErrorMessage="1" xr:uid="{6C6E4BC7-BDE9-4F78-B822-88B58C3DD8A8}">
          <x14:formula1>
            <xm:f>XMLSchema_Info!$J$505:$V$505</xm:f>
          </x14:formula1>
          <xm:sqref>N70</xm:sqref>
        </x14:dataValidation>
        <x14:dataValidation type="list" allowBlank="1" showInputMessage="1" showErrorMessage="1" xr:uid="{F56B1F88-D683-4214-88EA-9F436831BE2F}">
          <x14:formula1>
            <xm:f>XMLSchema_Info!$J$225:$M$225</xm:f>
          </x14:formula1>
          <xm:sqref>N74</xm:sqref>
        </x14:dataValidation>
        <x14:dataValidation type="list" allowBlank="1" showInputMessage="1" showErrorMessage="1" xr:uid="{DDD6CB82-3E6B-47AD-A5BA-421BDEAE375D}">
          <x14:formula1>
            <xm:f>XMLSchema_Info!$J$235:$L$235</xm:f>
          </x14:formula1>
          <xm:sqref>N75</xm:sqref>
        </x14:dataValidation>
        <x14:dataValidation type="list" allowBlank="1" showInputMessage="1" showErrorMessage="1" xr:uid="{1F0C5472-F2AC-438C-B1CB-50124B8C705E}">
          <x14:formula1>
            <xm:f>XMLSchema_Info!$J$226:$K$226</xm:f>
          </x14:formula1>
          <xm:sqref>N76</xm:sqref>
        </x14:dataValidation>
        <x14:dataValidation type="list" allowBlank="1" showInputMessage="1" showErrorMessage="1" xr:uid="{99F73F11-F681-4024-9DE9-D62D31A00EBC}">
          <x14:formula1>
            <xm:f>XMLSchema_Info!$J$304:$AZ$304</xm:f>
          </x14:formula1>
          <xm:sqref>N81</xm:sqref>
        </x14:dataValidation>
        <x14:dataValidation type="list" allowBlank="1" showInputMessage="1" showErrorMessage="1" xr:uid="{8A1E4C5D-5231-44C3-A27D-32A7F16044F9}">
          <x14:formula1>
            <xm:f>XMLSchema_Info!$J$288:$T$288</xm:f>
          </x14:formula1>
          <xm:sqref>N82</xm:sqref>
        </x14:dataValidation>
        <x14:dataValidation type="list" allowBlank="1" showInputMessage="1" showErrorMessage="1" xr:uid="{011B64F6-E68D-4EAA-8198-97D48282930C}">
          <x14:formula1>
            <xm:f>XMLSchema_Info!$J$289:$L$289</xm:f>
          </x14:formula1>
          <xm:sqref>N83</xm:sqref>
        </x14:dataValidation>
        <x14:dataValidation type="list" allowBlank="1" showInputMessage="1" showErrorMessage="1" xr:uid="{B7A07D37-3210-4262-A712-C7949F65AE4F}">
          <x14:formula1>
            <xm:f>XMLSchema_Info!$J$311:$M$311</xm:f>
          </x14:formula1>
          <xm:sqref>N85</xm:sqref>
        </x14:dataValidation>
        <x14:dataValidation type="list" allowBlank="1" showInputMessage="1" showErrorMessage="1" xr:uid="{B4CAC8A5-2795-4F80-9221-CD5C8005D19F}">
          <x14:formula1>
            <xm:f>XMLSchema_Info!$J$307:$M$307</xm:f>
          </x14:formula1>
          <xm:sqref>N87</xm:sqref>
        </x14:dataValidation>
        <x14:dataValidation type="list" allowBlank="1" showInputMessage="1" showErrorMessage="1" xr:uid="{343AF0D0-90AA-4F65-9596-EEA4807238C9}">
          <x14:formula1>
            <xm:f>XMLSchema_Info!$J$314:$M$314</xm:f>
          </x14:formula1>
          <xm:sqref>N89</xm:sqref>
        </x14:dataValidation>
        <x14:dataValidation type="list" allowBlank="1" showInputMessage="1" showErrorMessage="1" xr:uid="{933896F9-AB1E-47A3-AD28-72ABBF8F0812}">
          <x14:formula1>
            <xm:f>XMLSchema_Info!$J$313:$M$313</xm:f>
          </x14:formula1>
          <xm:sqref>N90</xm:sqref>
        </x14:dataValidation>
        <x14:dataValidation type="list" allowBlank="1" showInputMessage="1" showErrorMessage="1" xr:uid="{7450954A-0333-4641-871A-CFA095295680}">
          <x14:formula1>
            <xm:f>XMLSchema_Info!$J$522:$P$522</xm:f>
          </x14:formula1>
          <xm:sqref>N104</xm:sqref>
        </x14:dataValidation>
        <x14:dataValidation type="list" allowBlank="1" showInputMessage="1" showErrorMessage="1" xr:uid="{A7D09E82-3E24-48E0-97C6-20BE729702B5}">
          <x14:formula1>
            <xm:f>XMLSchema_Info!$J$530:$S$530</xm:f>
          </x14:formula1>
          <xm:sqref>N107</xm:sqref>
        </x14:dataValidation>
        <x14:dataValidation type="list" allowBlank="1" showInputMessage="1" showErrorMessage="1" xr:uid="{564D6DC9-99E9-4FB4-9183-FA304FA443B3}">
          <x14:formula1>
            <xm:f>XMLSchema_Info!$J$437:$O$437</xm:f>
          </x14:formula1>
          <xm:sqref>N110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0A20-BBCB-4C24-AA9B-4759A38CC642}">
  <sheetPr codeName="Sheet9"/>
  <dimension ref="A1:IA132"/>
  <sheetViews>
    <sheetView showGridLines="0" tabSelected="1" topLeftCell="EE3" zoomScale="80" zoomScaleNormal="80" workbookViewId="0"/>
  </sheetViews>
  <sheetFormatPr defaultRowHeight="15" x14ac:dyDescent="0.25"/>
  <cols>
    <col min="1" max="1" width="2" customWidth="1"/>
    <col min="2" max="2" width="1.5703125" customWidth="1"/>
    <col min="3" max="3" width="33.85546875" customWidth="1"/>
    <col min="4" max="4" width="30.42578125" customWidth="1"/>
    <col min="5" max="5" width="8.5703125" customWidth="1"/>
    <col min="6" max="6" width="5.28515625" customWidth="1"/>
    <col min="7" max="7" width="1.42578125" customWidth="1"/>
    <col min="8" max="8" width="14.85546875" customWidth="1"/>
    <col min="9" max="9" width="4.42578125" customWidth="1"/>
    <col min="10" max="10" width="2.140625" customWidth="1"/>
    <col min="11" max="11" width="11.42578125" customWidth="1"/>
    <col min="13" max="13" width="3.7109375" customWidth="1"/>
    <col min="14" max="14" width="1.140625" customWidth="1"/>
    <col min="15" max="15" width="1.7109375" customWidth="1"/>
    <col min="16" max="16" width="36" customWidth="1"/>
    <col min="18" max="18" width="2.140625" customWidth="1"/>
    <col min="19" max="19" width="10.140625" bestFit="1" customWidth="1"/>
    <col min="20" max="20" width="2.140625" customWidth="1"/>
    <col min="22" max="22" width="2.85546875" customWidth="1"/>
    <col min="23" max="23" width="8.7109375" customWidth="1"/>
    <col min="24" max="24" width="6.42578125" customWidth="1"/>
    <col min="26" max="26" width="8.28515625" customWidth="1"/>
    <col min="27" max="27" width="2.28515625" customWidth="1"/>
    <col min="28" max="28" width="2.85546875" customWidth="1"/>
    <col min="30" max="41" width="7.28515625" customWidth="1"/>
    <col min="42" max="42" width="8.28515625" customWidth="1"/>
    <col min="43" max="43" width="7" customWidth="1"/>
    <col min="44" max="44" width="3.28515625" customWidth="1"/>
    <col min="45" max="45" width="3" customWidth="1"/>
    <col min="46" max="46" width="6" customWidth="1"/>
    <col min="47" max="47" width="10.42578125" customWidth="1"/>
    <col min="48" max="48" width="14.140625" bestFit="1" customWidth="1"/>
    <col min="49" max="49" width="2.85546875" customWidth="1"/>
    <col min="50" max="50" width="14" customWidth="1"/>
    <col min="51" max="51" width="2.7109375" customWidth="1"/>
    <col min="53" max="53" width="2.42578125" customWidth="1"/>
    <col min="55" max="55" width="3.85546875" customWidth="1"/>
    <col min="57" max="57" width="2.7109375" customWidth="1"/>
    <col min="59" max="59" width="2.42578125" customWidth="1"/>
    <col min="62" max="62" width="3" customWidth="1"/>
    <col min="78" max="78" width="3" customWidth="1"/>
    <col min="79" max="79" width="2.28515625" customWidth="1"/>
    <col min="80" max="80" width="4.140625" customWidth="1"/>
    <col min="81" max="81" width="3.5703125" customWidth="1"/>
    <col min="96" max="96" width="3.140625" customWidth="1"/>
    <col min="97" max="97" width="3" customWidth="1"/>
    <col min="112" max="112" width="3.7109375" customWidth="1"/>
    <col min="113" max="113" width="3.140625" customWidth="1"/>
    <col min="114" max="114" width="14.7109375" customWidth="1"/>
    <col min="119" max="119" width="9.42578125" customWidth="1"/>
    <col min="128" max="129" width="3.140625" customWidth="1"/>
    <col min="145" max="145" width="3.42578125" customWidth="1"/>
    <col min="146" max="146" width="2.5703125" customWidth="1"/>
    <col min="162" max="162" width="3" customWidth="1"/>
    <col min="163" max="163" width="3.42578125" customWidth="1"/>
    <col min="179" max="179" width="2.7109375" customWidth="1"/>
    <col min="180" max="180" width="3.42578125" customWidth="1"/>
    <col min="181" max="181" width="58.28515625" customWidth="1"/>
    <col min="182" max="182" width="17.85546875" bestFit="1" customWidth="1"/>
    <col min="185" max="185" width="3" customWidth="1"/>
    <col min="186" max="186" width="2.85546875" customWidth="1"/>
    <col min="202" max="202" width="2.7109375" customWidth="1"/>
    <col min="203" max="203" width="3.7109375" customWidth="1"/>
    <col min="204" max="204" width="4.42578125" customWidth="1"/>
    <col min="205" max="205" width="36.5703125" customWidth="1"/>
    <col min="206" max="206" width="20.28515625" customWidth="1"/>
    <col min="207" max="207" width="5.140625" customWidth="1"/>
    <col min="210" max="210" width="11.7109375" customWidth="1"/>
    <col min="212" max="212" width="2.7109375" customWidth="1"/>
    <col min="213" max="213" width="2.85546875" customWidth="1"/>
    <col min="214" max="214" width="30.42578125" customWidth="1"/>
    <col min="215" max="215" width="25.28515625" customWidth="1"/>
    <col min="218" max="218" width="3" customWidth="1"/>
    <col min="219" max="219" width="3.28515625" customWidth="1"/>
    <col min="220" max="220" width="42.5703125" customWidth="1"/>
    <col min="221" max="221" width="20" customWidth="1"/>
    <col min="227" max="227" width="3.140625" customWidth="1"/>
    <col min="228" max="228" width="3.42578125" customWidth="1"/>
    <col min="229" max="229" width="43.140625" customWidth="1"/>
    <col min="230" max="230" width="26.7109375" customWidth="1"/>
  </cols>
  <sheetData>
    <row r="1" spans="1:235" ht="21" x14ac:dyDescent="0.35">
      <c r="A1" s="3" t="s">
        <v>929</v>
      </c>
    </row>
    <row r="3" spans="1:235" x14ac:dyDescent="0.25">
      <c r="A3" t="s">
        <v>930</v>
      </c>
    </row>
    <row r="4" spans="1:235" x14ac:dyDescent="0.25">
      <c r="A4" t="s">
        <v>931</v>
      </c>
    </row>
    <row r="6" spans="1:235" ht="18.75" x14ac:dyDescent="0.3">
      <c r="B6" s="19" t="s">
        <v>932</v>
      </c>
      <c r="C6" s="19"/>
      <c r="N6" s="19" t="s">
        <v>962</v>
      </c>
      <c r="AS6" s="19" t="s">
        <v>1771</v>
      </c>
      <c r="CA6" s="19" t="s">
        <v>1864</v>
      </c>
      <c r="CS6" s="19" t="s">
        <v>1959</v>
      </c>
      <c r="DI6" s="19" t="s">
        <v>1983</v>
      </c>
      <c r="DY6" s="19" t="s">
        <v>2028</v>
      </c>
      <c r="EP6" s="19" t="s">
        <v>2056</v>
      </c>
      <c r="FG6" s="19" t="s">
        <v>2089</v>
      </c>
      <c r="FX6" s="19" t="s">
        <v>2121</v>
      </c>
      <c r="GD6" s="19" t="s">
        <v>2123</v>
      </c>
      <c r="GU6" s="19" t="s">
        <v>2246</v>
      </c>
      <c r="HE6" s="19" t="s">
        <v>2322</v>
      </c>
      <c r="HK6" s="19" t="s">
        <v>2331</v>
      </c>
      <c r="HT6" s="19" t="s">
        <v>2377</v>
      </c>
    </row>
    <row r="7" spans="1:235" x14ac:dyDescent="0.25">
      <c r="B7" s="10"/>
      <c r="C7" s="11"/>
      <c r="D7" s="11"/>
      <c r="E7" s="11"/>
      <c r="F7" s="11"/>
      <c r="G7" s="11"/>
      <c r="H7" s="11"/>
      <c r="I7" s="11"/>
      <c r="J7" s="11"/>
      <c r="K7" s="11"/>
      <c r="L7" s="12"/>
      <c r="N7" s="10"/>
      <c r="O7" s="11"/>
      <c r="P7" s="11"/>
      <c r="Q7" s="11"/>
      <c r="R7" s="11"/>
      <c r="S7" s="11"/>
      <c r="T7" s="11"/>
      <c r="U7" s="11"/>
      <c r="V7" s="11"/>
      <c r="W7" s="11"/>
      <c r="X7" s="11"/>
      <c r="Y7" s="11"/>
      <c r="Z7" s="12"/>
      <c r="AA7" s="10"/>
      <c r="AB7" s="11"/>
      <c r="AC7" s="11"/>
      <c r="AD7" s="11"/>
      <c r="AE7" s="11"/>
      <c r="AF7" s="11"/>
      <c r="AG7" s="11"/>
      <c r="AH7" s="11"/>
      <c r="AI7" s="11"/>
      <c r="AJ7" s="11"/>
      <c r="AK7" s="11"/>
      <c r="AL7" s="11"/>
      <c r="AM7" s="11"/>
      <c r="AN7" s="11"/>
      <c r="AO7" s="11"/>
      <c r="AP7" s="11"/>
      <c r="AQ7" s="12"/>
      <c r="AS7" s="10"/>
      <c r="AT7" s="11"/>
      <c r="AU7" s="11"/>
      <c r="AV7" s="11"/>
      <c r="AW7" s="11"/>
      <c r="AX7" s="11"/>
      <c r="AY7" s="11"/>
      <c r="AZ7" s="11"/>
      <c r="BA7" s="11"/>
      <c r="BB7" s="11"/>
      <c r="BC7" s="11"/>
      <c r="BD7" s="11"/>
      <c r="BE7" s="11"/>
      <c r="BF7" s="11"/>
      <c r="BG7" s="11"/>
      <c r="BH7" s="11"/>
      <c r="BI7" s="12"/>
      <c r="BJ7" s="10"/>
      <c r="BK7" s="11"/>
      <c r="BL7" s="11"/>
      <c r="BM7" s="11"/>
      <c r="BN7" s="11"/>
      <c r="BO7" s="11"/>
      <c r="BP7" s="11"/>
      <c r="BQ7" s="11"/>
      <c r="BR7" s="11"/>
      <c r="BS7" s="11"/>
      <c r="BT7" s="11"/>
      <c r="BU7" s="11"/>
      <c r="BV7" s="11"/>
      <c r="BW7" s="11"/>
      <c r="BX7" s="11"/>
      <c r="BY7" s="12"/>
      <c r="CA7" s="10"/>
      <c r="CB7" s="11"/>
      <c r="CC7" s="11"/>
      <c r="CD7" s="11"/>
      <c r="CE7" s="11"/>
      <c r="CF7" s="11"/>
      <c r="CG7" s="11"/>
      <c r="CH7" s="11"/>
      <c r="CI7" s="11"/>
      <c r="CJ7" s="11"/>
      <c r="CK7" s="11"/>
      <c r="CL7" s="11"/>
      <c r="CM7" s="11"/>
      <c r="CN7" s="11"/>
      <c r="CO7" s="11"/>
      <c r="CP7" s="11"/>
      <c r="CQ7" s="12"/>
      <c r="CS7" s="10"/>
      <c r="CT7" s="11"/>
      <c r="CU7" s="11"/>
      <c r="CV7" s="11"/>
      <c r="CW7" s="11"/>
      <c r="CX7" s="11"/>
      <c r="CY7" s="11"/>
      <c r="CZ7" s="11"/>
      <c r="DA7" s="11"/>
      <c r="DB7" s="11"/>
      <c r="DC7" s="11"/>
      <c r="DD7" s="11"/>
      <c r="DE7" s="11"/>
      <c r="DF7" s="11"/>
      <c r="DG7" s="12"/>
      <c r="DI7" s="10"/>
      <c r="DJ7" s="11"/>
      <c r="DK7" s="11"/>
      <c r="DL7" s="11"/>
      <c r="DM7" s="11"/>
      <c r="DN7" s="11"/>
      <c r="DO7" s="11"/>
      <c r="DP7" s="11"/>
      <c r="DQ7" s="11"/>
      <c r="DR7" s="11"/>
      <c r="DS7" s="11"/>
      <c r="DT7" s="11"/>
      <c r="DU7" s="11"/>
      <c r="DV7" s="11"/>
      <c r="DW7" s="12"/>
      <c r="DY7" s="10"/>
      <c r="DZ7" s="11"/>
      <c r="EA7" s="11"/>
      <c r="EB7" s="11"/>
      <c r="EC7" s="11"/>
      <c r="ED7" s="11"/>
      <c r="EE7" s="11"/>
      <c r="EF7" s="11"/>
      <c r="EG7" s="11"/>
      <c r="EH7" s="11"/>
      <c r="EI7" s="11"/>
      <c r="EJ7" s="11"/>
      <c r="EK7" s="11"/>
      <c r="EL7" s="11"/>
      <c r="EM7" s="11"/>
      <c r="EN7" s="12"/>
      <c r="EP7" s="10"/>
      <c r="EQ7" s="11"/>
      <c r="ER7" s="11"/>
      <c r="ES7" s="11"/>
      <c r="ET7" s="11"/>
      <c r="EU7" s="11"/>
      <c r="EV7" s="11"/>
      <c r="EW7" s="11"/>
      <c r="EX7" s="11"/>
      <c r="EY7" s="11"/>
      <c r="EZ7" s="11"/>
      <c r="FA7" s="11"/>
      <c r="FB7" s="11"/>
      <c r="FC7" s="11"/>
      <c r="FD7" s="11"/>
      <c r="FE7" s="12"/>
      <c r="FG7" s="10"/>
      <c r="FH7" s="11"/>
      <c r="FI7" s="11"/>
      <c r="FJ7" s="11"/>
      <c r="FK7" s="11"/>
      <c r="FL7" s="11"/>
      <c r="FM7" s="11"/>
      <c r="FN7" s="11"/>
      <c r="FO7" s="11"/>
      <c r="FP7" s="11"/>
      <c r="FQ7" s="11"/>
      <c r="FR7" s="11"/>
      <c r="FS7" s="11"/>
      <c r="FT7" s="11"/>
      <c r="FU7" s="11"/>
      <c r="FV7" s="12"/>
      <c r="FX7" s="10"/>
      <c r="FY7" s="11"/>
      <c r="FZ7" s="11"/>
      <c r="GA7" s="11"/>
      <c r="GB7" s="12"/>
      <c r="GD7" s="10"/>
      <c r="GE7" s="11"/>
      <c r="GF7" s="11"/>
      <c r="GG7" s="11"/>
      <c r="GH7" s="11"/>
      <c r="GI7" s="11"/>
      <c r="GJ7" s="11"/>
      <c r="GK7" s="11"/>
      <c r="GL7" s="11"/>
      <c r="GM7" s="11"/>
      <c r="GN7" s="11"/>
      <c r="GO7" s="11"/>
      <c r="GP7" s="11"/>
      <c r="GQ7" s="11"/>
      <c r="GR7" s="11"/>
      <c r="GS7" s="12"/>
      <c r="GU7" s="10"/>
      <c r="GV7" s="11"/>
      <c r="GW7" s="11"/>
      <c r="GX7" s="11"/>
      <c r="GY7" s="11"/>
      <c r="GZ7" s="11"/>
      <c r="HA7" s="11"/>
      <c r="HB7" s="11"/>
      <c r="HC7" s="12"/>
      <c r="HE7" s="10"/>
      <c r="HF7" s="11"/>
      <c r="HG7" s="11"/>
      <c r="HH7" s="11"/>
      <c r="HI7" s="12"/>
      <c r="HK7" s="10"/>
      <c r="HL7" s="11"/>
      <c r="HM7" s="11"/>
      <c r="HN7" s="11"/>
      <c r="HO7" s="11"/>
      <c r="HP7" s="11"/>
      <c r="HQ7" s="11"/>
      <c r="HR7" s="12"/>
      <c r="HT7" s="10"/>
      <c r="HU7" s="11"/>
      <c r="HV7" s="11"/>
      <c r="HW7" s="11"/>
      <c r="HX7" s="11"/>
      <c r="HY7" s="11"/>
      <c r="HZ7" s="11"/>
      <c r="IA7" s="12"/>
    </row>
    <row r="8" spans="1:235" ht="18" x14ac:dyDescent="0.35">
      <c r="B8" s="13"/>
      <c r="E8" s="6" t="s">
        <v>1038</v>
      </c>
      <c r="F8" s="6"/>
      <c r="G8" s="6"/>
      <c r="H8" s="6" t="s">
        <v>975</v>
      </c>
      <c r="I8" s="6"/>
      <c r="J8" s="6"/>
      <c r="K8" s="6" t="s">
        <v>1039</v>
      </c>
      <c r="L8" s="14"/>
      <c r="N8" s="13"/>
      <c r="Q8" s="6" t="s">
        <v>969</v>
      </c>
      <c r="R8" s="6"/>
      <c r="S8" s="6" t="s">
        <v>971</v>
      </c>
      <c r="T8" s="6"/>
      <c r="U8" s="6" t="s">
        <v>972</v>
      </c>
      <c r="V8" s="6"/>
      <c r="W8" s="6" t="s">
        <v>973</v>
      </c>
      <c r="X8" s="6"/>
      <c r="Y8" s="6" t="s">
        <v>1040</v>
      </c>
      <c r="Z8" s="14"/>
      <c r="AA8" s="13"/>
      <c r="AB8" t="s">
        <v>1042</v>
      </c>
      <c r="AQ8" s="14"/>
      <c r="AS8" s="13"/>
      <c r="AT8" s="2" t="s">
        <v>1772</v>
      </c>
      <c r="AU8" s="2"/>
      <c r="BI8" s="14"/>
      <c r="BJ8" s="13"/>
      <c r="BK8" t="s">
        <v>1849</v>
      </c>
      <c r="BQ8" s="6" t="s">
        <v>1850</v>
      </c>
      <c r="BY8" s="14"/>
      <c r="CA8" s="13"/>
      <c r="CB8" t="s">
        <v>1865</v>
      </c>
      <c r="CO8" s="14"/>
      <c r="CP8" s="39">
        <v>1.6901008890848901</v>
      </c>
      <c r="CQ8" s="33" t="s">
        <v>1868</v>
      </c>
      <c r="CS8" s="13"/>
      <c r="CT8" t="s">
        <v>1960</v>
      </c>
      <c r="DG8" s="14"/>
      <c r="DI8" s="13"/>
      <c r="DJ8" s="2" t="s">
        <v>1984</v>
      </c>
      <c r="DW8" s="14"/>
      <c r="DY8" s="13"/>
      <c r="DZ8" t="s">
        <v>2049</v>
      </c>
      <c r="EM8" s="40">
        <v>21</v>
      </c>
      <c r="EN8" s="33" t="s">
        <v>2022</v>
      </c>
      <c r="EP8" s="13"/>
      <c r="EQ8" t="s">
        <v>2078</v>
      </c>
      <c r="FE8" s="14"/>
      <c r="FG8" s="13"/>
      <c r="FI8" s="8" t="s">
        <v>1044</v>
      </c>
      <c r="FJ8" s="8" t="s">
        <v>1045</v>
      </c>
      <c r="FK8" s="8" t="s">
        <v>1046</v>
      </c>
      <c r="FL8" s="8" t="s">
        <v>1047</v>
      </c>
      <c r="FM8" s="8" t="s">
        <v>1048</v>
      </c>
      <c r="FN8" s="8" t="s">
        <v>1049</v>
      </c>
      <c r="FO8" s="8" t="s">
        <v>1050</v>
      </c>
      <c r="FP8" s="8" t="s">
        <v>1051</v>
      </c>
      <c r="FQ8" s="8" t="s">
        <v>1052</v>
      </c>
      <c r="FR8" s="8" t="s">
        <v>1053</v>
      </c>
      <c r="FS8" s="8" t="s">
        <v>1054</v>
      </c>
      <c r="FT8" s="8" t="s">
        <v>1055</v>
      </c>
      <c r="FV8" s="14"/>
      <c r="FX8" s="13"/>
      <c r="FY8" t="s">
        <v>2120</v>
      </c>
      <c r="FZ8" t="s">
        <v>2122</v>
      </c>
      <c r="GA8" s="8"/>
      <c r="GB8" s="27" t="s">
        <v>2406</v>
      </c>
      <c r="GD8" s="13"/>
      <c r="GE8" s="1" t="s">
        <v>2124</v>
      </c>
      <c r="GS8" s="14"/>
      <c r="GU8" s="13"/>
      <c r="GX8" s="6" t="s">
        <v>2251</v>
      </c>
      <c r="GZ8" t="s">
        <v>2252</v>
      </c>
      <c r="HC8" s="14"/>
      <c r="HE8" s="13"/>
      <c r="HF8" t="s">
        <v>2323</v>
      </c>
      <c r="HH8" s="28">
        <v>0.36</v>
      </c>
      <c r="HI8" s="27" t="s">
        <v>2328</v>
      </c>
      <c r="HK8" s="13"/>
      <c r="HM8" s="6" t="s">
        <v>2333</v>
      </c>
      <c r="HO8" s="6" t="s">
        <v>2336</v>
      </c>
      <c r="HQ8" s="6" t="s">
        <v>2337</v>
      </c>
      <c r="HR8" s="14"/>
      <c r="HT8" s="13"/>
      <c r="HV8" s="6" t="s">
        <v>2333</v>
      </c>
      <c r="HX8" s="6" t="s">
        <v>2378</v>
      </c>
      <c r="HZ8" s="6" t="s">
        <v>2380</v>
      </c>
      <c r="IA8" s="14"/>
    </row>
    <row r="9" spans="1:235" ht="18" x14ac:dyDescent="0.35">
      <c r="B9" s="13"/>
      <c r="E9" s="6"/>
      <c r="F9" s="6"/>
      <c r="G9" s="6"/>
      <c r="H9" s="6" t="s">
        <v>976</v>
      </c>
      <c r="I9" s="6"/>
      <c r="J9" s="6"/>
      <c r="K9" s="6"/>
      <c r="L9" s="14"/>
      <c r="N9" s="13"/>
      <c r="Q9" s="6" t="s">
        <v>970</v>
      </c>
      <c r="R9" s="6"/>
      <c r="S9" s="6" t="s">
        <v>970</v>
      </c>
      <c r="T9" s="6"/>
      <c r="U9" s="6"/>
      <c r="V9" s="6"/>
      <c r="W9" s="6"/>
      <c r="X9" s="6"/>
      <c r="Y9" s="6" t="s">
        <v>977</v>
      </c>
      <c r="Z9" s="14"/>
      <c r="AA9" s="13"/>
      <c r="AB9" t="s">
        <v>1043</v>
      </c>
      <c r="AQ9" s="14"/>
      <c r="AS9" s="13"/>
      <c r="AT9" s="2" t="s">
        <v>1784</v>
      </c>
      <c r="AU9" s="2"/>
      <c r="BI9" s="14"/>
      <c r="BJ9" s="13"/>
      <c r="BL9" s="8" t="s">
        <v>1044</v>
      </c>
      <c r="BM9" s="8" t="s">
        <v>1045</v>
      </c>
      <c r="BN9" s="8" t="s">
        <v>1046</v>
      </c>
      <c r="BO9" s="8" t="s">
        <v>1047</v>
      </c>
      <c r="BP9" s="8" t="s">
        <v>1048</v>
      </c>
      <c r="BQ9" s="8" t="s">
        <v>1049</v>
      </c>
      <c r="BR9" s="8" t="s">
        <v>1050</v>
      </c>
      <c r="BS9" s="8" t="s">
        <v>1051</v>
      </c>
      <c r="BT9" s="8" t="s">
        <v>1052</v>
      </c>
      <c r="BU9" s="8" t="s">
        <v>1053</v>
      </c>
      <c r="BV9" s="8" t="s">
        <v>1054</v>
      </c>
      <c r="BW9" s="8" t="s">
        <v>1055</v>
      </c>
      <c r="BY9" s="14"/>
      <c r="CA9" s="13"/>
      <c r="CC9" t="s">
        <v>1866</v>
      </c>
      <c r="CQ9" s="14"/>
      <c r="CS9" s="13"/>
      <c r="CU9" s="8" t="s">
        <v>1044</v>
      </c>
      <c r="CV9" s="8" t="s">
        <v>1045</v>
      </c>
      <c r="CW9" s="8" t="s">
        <v>1046</v>
      </c>
      <c r="CX9" s="8" t="s">
        <v>1047</v>
      </c>
      <c r="CY9" s="8" t="s">
        <v>1048</v>
      </c>
      <c r="CZ9" s="8" t="s">
        <v>1049</v>
      </c>
      <c r="DA9" s="8" t="s">
        <v>1050</v>
      </c>
      <c r="DB9" s="8" t="s">
        <v>1051</v>
      </c>
      <c r="DC9" s="8" t="s">
        <v>1052</v>
      </c>
      <c r="DD9" s="8" t="s">
        <v>1053</v>
      </c>
      <c r="DE9" s="8" t="s">
        <v>1054</v>
      </c>
      <c r="DF9" s="8" t="s">
        <v>1055</v>
      </c>
      <c r="DG9" s="14"/>
      <c r="DI9" s="13"/>
      <c r="DJ9" s="2" t="s">
        <v>1986</v>
      </c>
      <c r="DW9" s="14"/>
      <c r="DY9" s="13"/>
      <c r="DZ9" t="s">
        <v>2050</v>
      </c>
      <c r="EN9" s="14"/>
      <c r="EP9" s="13"/>
      <c r="EQ9" t="s">
        <v>2057</v>
      </c>
      <c r="FE9" s="14"/>
      <c r="FG9" s="13"/>
      <c r="FH9" t="s">
        <v>2112</v>
      </c>
      <c r="FV9" s="14"/>
      <c r="FX9" s="16"/>
      <c r="FY9" s="17"/>
      <c r="FZ9" s="17"/>
      <c r="GA9" s="17"/>
      <c r="GB9" s="18"/>
      <c r="GD9" s="13"/>
      <c r="GE9" t="s">
        <v>2152</v>
      </c>
      <c r="GR9" s="40">
        <v>0</v>
      </c>
      <c r="GS9" s="27" t="s">
        <v>2139</v>
      </c>
      <c r="GU9" s="13"/>
      <c r="GX9" s="6" t="s">
        <v>2134</v>
      </c>
      <c r="GZ9" t="s">
        <v>2253</v>
      </c>
      <c r="HC9" s="14"/>
      <c r="HE9" s="13"/>
      <c r="HI9" s="14"/>
      <c r="HK9" s="13"/>
      <c r="HM9" s="6" t="s">
        <v>2334</v>
      </c>
      <c r="HO9" s="6" t="s">
        <v>2339</v>
      </c>
      <c r="HQ9" s="6" t="s">
        <v>2338</v>
      </c>
      <c r="HR9" s="14"/>
      <c r="HT9" s="13"/>
      <c r="HV9" s="6" t="s">
        <v>2334</v>
      </c>
      <c r="HX9" s="6" t="s">
        <v>2379</v>
      </c>
      <c r="HZ9" s="6" t="s">
        <v>2134</v>
      </c>
      <c r="IA9" s="14"/>
    </row>
    <row r="10" spans="1:235" ht="18" x14ac:dyDescent="0.35">
      <c r="B10" s="13"/>
      <c r="C10" t="s">
        <v>933</v>
      </c>
      <c r="E10" s="66"/>
      <c r="F10" s="24" t="s">
        <v>941</v>
      </c>
      <c r="G10" s="29" t="s">
        <v>1778</v>
      </c>
      <c r="H10" s="66"/>
      <c r="I10" s="24" t="s">
        <v>947</v>
      </c>
      <c r="J10" s="15" t="s">
        <v>953</v>
      </c>
      <c r="K10" s="66"/>
      <c r="L10" s="20" t="s">
        <v>954</v>
      </c>
      <c r="N10" s="13"/>
      <c r="O10" t="s">
        <v>963</v>
      </c>
      <c r="Z10" s="14"/>
      <c r="AA10" s="13"/>
      <c r="AD10" s="8" t="s">
        <v>1044</v>
      </c>
      <c r="AE10" s="8" t="s">
        <v>1045</v>
      </c>
      <c r="AF10" s="8" t="s">
        <v>1046</v>
      </c>
      <c r="AG10" s="8" t="s">
        <v>1047</v>
      </c>
      <c r="AH10" s="8" t="s">
        <v>1048</v>
      </c>
      <c r="AI10" s="8" t="s">
        <v>1049</v>
      </c>
      <c r="AJ10" s="8" t="s">
        <v>1050</v>
      </c>
      <c r="AK10" s="8" t="s">
        <v>1051</v>
      </c>
      <c r="AL10" s="8" t="s">
        <v>1052</v>
      </c>
      <c r="AM10" s="8" t="s">
        <v>1053</v>
      </c>
      <c r="AN10" s="8" t="s">
        <v>1054</v>
      </c>
      <c r="AO10" s="8" t="s">
        <v>1055</v>
      </c>
      <c r="AQ10" s="14"/>
      <c r="AS10" s="13"/>
      <c r="AT10" t="s">
        <v>1773</v>
      </c>
      <c r="AV10" t="s">
        <v>1774</v>
      </c>
      <c r="AX10" t="s">
        <v>1775</v>
      </c>
      <c r="AZ10" s="6" t="s">
        <v>1776</v>
      </c>
      <c r="BB10" s="6" t="s">
        <v>1779</v>
      </c>
      <c r="BD10" s="6" t="s">
        <v>2403</v>
      </c>
      <c r="BF10" s="25" t="s">
        <v>1783</v>
      </c>
      <c r="BH10" s="25" t="s">
        <v>1786</v>
      </c>
      <c r="BI10" s="14"/>
      <c r="BJ10" s="13"/>
      <c r="BK10" t="s">
        <v>1851</v>
      </c>
      <c r="BL10" s="40">
        <v>24.750000000035399</v>
      </c>
      <c r="BM10" s="40">
        <v>24.750000000033999</v>
      </c>
      <c r="BN10" s="40">
        <v>24.750000000032699</v>
      </c>
      <c r="BO10" s="40">
        <v>24.750000000026301</v>
      </c>
      <c r="BP10" s="40">
        <v>24.750000000025199</v>
      </c>
      <c r="BQ10" s="40">
        <v>24.7500000000196</v>
      </c>
      <c r="BR10" s="40">
        <v>24.7500000000196</v>
      </c>
      <c r="BS10" s="40">
        <v>24.750000000018598</v>
      </c>
      <c r="BT10" s="40">
        <v>24.750000000021799</v>
      </c>
      <c r="BU10" s="40">
        <v>24.750000000025199</v>
      </c>
      <c r="BV10" s="40">
        <v>24.750000000027502</v>
      </c>
      <c r="BW10" s="40">
        <v>24.750000000030099</v>
      </c>
      <c r="BY10" s="27" t="s">
        <v>1852</v>
      </c>
      <c r="CA10" s="13"/>
      <c r="CC10" t="s">
        <v>1867</v>
      </c>
      <c r="CQ10" s="14"/>
      <c r="CS10" s="13"/>
      <c r="CT10" t="s">
        <v>1935</v>
      </c>
      <c r="CU10" s="40">
        <v>101.406053345093</v>
      </c>
      <c r="CV10" s="40">
        <v>101.406053345093</v>
      </c>
      <c r="CW10" s="40">
        <v>101.406053345093</v>
      </c>
      <c r="CX10" s="40">
        <v>101.406053345093</v>
      </c>
      <c r="CY10" s="40">
        <v>101.406053345093</v>
      </c>
      <c r="CZ10" s="40">
        <v>101.406053345093</v>
      </c>
      <c r="DA10" s="40">
        <v>101.406053345093</v>
      </c>
      <c r="DB10" s="40">
        <v>101.406053345093</v>
      </c>
      <c r="DC10" s="40">
        <v>101.406053345093</v>
      </c>
      <c r="DD10" s="40">
        <v>101.406053345093</v>
      </c>
      <c r="DE10" s="40">
        <v>101.406053345093</v>
      </c>
      <c r="DF10" s="40">
        <v>101.406053345093</v>
      </c>
      <c r="DG10" s="33" t="s">
        <v>1967</v>
      </c>
      <c r="DI10" s="13"/>
      <c r="DJ10" s="2" t="s">
        <v>1985</v>
      </c>
      <c r="DW10" s="14"/>
      <c r="DY10" s="13"/>
      <c r="EA10" s="8" t="s">
        <v>1044</v>
      </c>
      <c r="EB10" s="8" t="s">
        <v>1045</v>
      </c>
      <c r="EC10" s="8" t="s">
        <v>1046</v>
      </c>
      <c r="ED10" s="8" t="s">
        <v>1047</v>
      </c>
      <c r="EE10" s="8" t="s">
        <v>1048</v>
      </c>
      <c r="EF10" s="8" t="s">
        <v>1049</v>
      </c>
      <c r="EG10" s="8" t="s">
        <v>1050</v>
      </c>
      <c r="EH10" s="8" t="s">
        <v>1051</v>
      </c>
      <c r="EI10" s="8" t="s">
        <v>1052</v>
      </c>
      <c r="EJ10" s="8" t="s">
        <v>1053</v>
      </c>
      <c r="EK10" s="8" t="s">
        <v>1054</v>
      </c>
      <c r="EL10" s="8" t="s">
        <v>1055</v>
      </c>
      <c r="EN10" s="14"/>
      <c r="EP10" s="13"/>
      <c r="ER10" s="8" t="s">
        <v>1044</v>
      </c>
      <c r="ES10" s="8" t="s">
        <v>1045</v>
      </c>
      <c r="ET10" s="8" t="s">
        <v>1046</v>
      </c>
      <c r="EU10" s="8" t="s">
        <v>1047</v>
      </c>
      <c r="EV10" s="8" t="s">
        <v>1048</v>
      </c>
      <c r="EW10" s="8" t="s">
        <v>1049</v>
      </c>
      <c r="EX10" s="8" t="s">
        <v>1050</v>
      </c>
      <c r="EY10" s="8" t="s">
        <v>1051</v>
      </c>
      <c r="EZ10" s="8" t="s">
        <v>1052</v>
      </c>
      <c r="FA10" s="8" t="s">
        <v>1053</v>
      </c>
      <c r="FB10" s="8" t="s">
        <v>1054</v>
      </c>
      <c r="FC10" s="8" t="s">
        <v>1055</v>
      </c>
      <c r="FE10" s="14"/>
      <c r="FG10" s="13"/>
      <c r="FH10" t="s">
        <v>2093</v>
      </c>
      <c r="FI10" s="66"/>
      <c r="FJ10" s="66"/>
      <c r="FK10" s="66"/>
      <c r="FL10" s="66"/>
      <c r="FM10" s="66"/>
      <c r="FN10" s="69"/>
      <c r="FO10" s="69"/>
      <c r="FP10" s="69"/>
      <c r="FQ10" s="66"/>
      <c r="FR10" s="66"/>
      <c r="FS10" s="66"/>
      <c r="FT10" s="66"/>
      <c r="FV10" s="27" t="s">
        <v>2092</v>
      </c>
      <c r="GD10" s="13"/>
      <c r="GS10" s="14"/>
      <c r="GU10" s="13"/>
      <c r="GV10" t="s">
        <v>2247</v>
      </c>
      <c r="HC10" s="14"/>
      <c r="HE10" s="13"/>
      <c r="HF10" t="s">
        <v>2324</v>
      </c>
      <c r="HG10" s="15" t="s">
        <v>2327</v>
      </c>
      <c r="HH10" s="38">
        <v>1.07096251237887</v>
      </c>
      <c r="HI10" s="27" t="s">
        <v>2329</v>
      </c>
      <c r="HK10" s="13"/>
      <c r="HL10" t="s">
        <v>2332</v>
      </c>
      <c r="HM10" s="36" t="s">
        <v>2154</v>
      </c>
      <c r="HN10" s="25" t="s">
        <v>1778</v>
      </c>
      <c r="HO10" s="28" t="s">
        <v>2719</v>
      </c>
      <c r="HP10" s="25" t="s">
        <v>953</v>
      </c>
      <c r="HQ10" s="40">
        <v>232.856209065809</v>
      </c>
      <c r="HR10" s="37" t="s">
        <v>2335</v>
      </c>
      <c r="HT10" s="13"/>
      <c r="HU10" t="s">
        <v>2332</v>
      </c>
      <c r="HV10" s="36" t="s">
        <v>2154</v>
      </c>
      <c r="HW10" s="25" t="s">
        <v>1778</v>
      </c>
      <c r="HX10" s="8"/>
      <c r="HY10" s="25" t="s">
        <v>953</v>
      </c>
      <c r="HZ10" s="40">
        <v>1252.98817259221</v>
      </c>
      <c r="IA10" s="37" t="s">
        <v>2381</v>
      </c>
    </row>
    <row r="11" spans="1:235" ht="18" x14ac:dyDescent="0.35">
      <c r="B11" s="13"/>
      <c r="C11" t="s">
        <v>934</v>
      </c>
      <c r="E11" s="28">
        <v>50</v>
      </c>
      <c r="F11" s="24" t="s">
        <v>942</v>
      </c>
      <c r="G11" s="29" t="s">
        <v>1778</v>
      </c>
      <c r="H11" s="28">
        <v>3</v>
      </c>
      <c r="I11" s="24" t="s">
        <v>948</v>
      </c>
      <c r="J11" s="15" t="s">
        <v>953</v>
      </c>
      <c r="K11" s="28">
        <v>150</v>
      </c>
      <c r="L11" s="20" t="s">
        <v>955</v>
      </c>
      <c r="N11" s="13"/>
      <c r="O11" s="9" t="s">
        <v>964</v>
      </c>
      <c r="Q11" s="8"/>
      <c r="R11" s="6" t="s">
        <v>974</v>
      </c>
      <c r="S11" s="8"/>
      <c r="T11" s="6" t="s">
        <v>974</v>
      </c>
      <c r="U11" s="8"/>
      <c r="V11" s="6" t="s">
        <v>953</v>
      </c>
      <c r="W11" s="28">
        <v>0</v>
      </c>
      <c r="X11" s="6" t="s">
        <v>1789</v>
      </c>
      <c r="Y11" s="28">
        <v>0</v>
      </c>
      <c r="Z11" s="20" t="s">
        <v>978</v>
      </c>
      <c r="AA11" s="13"/>
      <c r="AB11" t="s">
        <v>1056</v>
      </c>
      <c r="AD11" s="28">
        <v>5.0999999999999996</v>
      </c>
      <c r="AE11" s="28">
        <v>5</v>
      </c>
      <c r="AF11" s="28">
        <v>4.9000000000000004</v>
      </c>
      <c r="AG11" s="28">
        <v>4.4000000000000004</v>
      </c>
      <c r="AH11" s="28">
        <v>4.3</v>
      </c>
      <c r="AI11" s="28">
        <v>3.8</v>
      </c>
      <c r="AJ11" s="28">
        <v>3.8</v>
      </c>
      <c r="AK11" s="28">
        <v>3.7</v>
      </c>
      <c r="AL11" s="28">
        <v>4</v>
      </c>
      <c r="AM11" s="28">
        <v>4.3</v>
      </c>
      <c r="AN11" s="28">
        <v>4.5</v>
      </c>
      <c r="AO11" s="28">
        <v>4.7</v>
      </c>
      <c r="AQ11" s="14"/>
      <c r="AS11" s="13"/>
      <c r="AZ11" s="6" t="s">
        <v>1777</v>
      </c>
      <c r="BB11" s="6" t="s">
        <v>1780</v>
      </c>
      <c r="BD11" s="6" t="s">
        <v>1781</v>
      </c>
      <c r="BF11" s="6" t="s">
        <v>1785</v>
      </c>
      <c r="BH11" s="6" t="s">
        <v>1787</v>
      </c>
      <c r="BI11" s="14"/>
      <c r="BJ11" s="13"/>
      <c r="BK11" t="s">
        <v>1855</v>
      </c>
      <c r="BY11" s="14"/>
      <c r="CA11" s="13"/>
      <c r="CD11" s="8" t="s">
        <v>1044</v>
      </c>
      <c r="CE11" s="8" t="s">
        <v>1045</v>
      </c>
      <c r="CF11" s="8" t="s">
        <v>1046</v>
      </c>
      <c r="CG11" s="8" t="s">
        <v>1047</v>
      </c>
      <c r="CH11" s="8" t="s">
        <v>1048</v>
      </c>
      <c r="CI11" s="8" t="s">
        <v>1049</v>
      </c>
      <c r="CJ11" s="8" t="s">
        <v>1050</v>
      </c>
      <c r="CK11" s="8" t="s">
        <v>1051</v>
      </c>
      <c r="CL11" s="8" t="s">
        <v>1052</v>
      </c>
      <c r="CM11" s="8" t="s">
        <v>1053</v>
      </c>
      <c r="CN11" s="8" t="s">
        <v>1054</v>
      </c>
      <c r="CO11" s="8" t="s">
        <v>1055</v>
      </c>
      <c r="CQ11" s="14"/>
      <c r="CS11" s="13"/>
      <c r="CT11" t="s">
        <v>1961</v>
      </c>
      <c r="DG11" s="14"/>
      <c r="DI11" s="13"/>
      <c r="DJ11" s="6"/>
      <c r="DK11" s="6"/>
      <c r="DL11" s="6"/>
      <c r="DM11" s="6"/>
      <c r="DN11" s="6"/>
      <c r="DO11" s="6"/>
      <c r="DP11" s="6"/>
      <c r="DQ11" s="6"/>
      <c r="DR11" s="6"/>
      <c r="DS11" s="6" t="s">
        <v>1996</v>
      </c>
      <c r="DT11" s="6"/>
      <c r="DU11" s="6"/>
      <c r="DW11" s="14"/>
      <c r="DY11" s="13"/>
      <c r="DZ11" t="s">
        <v>2041</v>
      </c>
      <c r="EA11" s="39">
        <v>0.86361943412443498</v>
      </c>
      <c r="EB11" s="39">
        <v>0.81826708667314396</v>
      </c>
      <c r="EC11" s="39">
        <v>0.763134761763402</v>
      </c>
      <c r="ED11" s="39">
        <v>0.69048343589634398</v>
      </c>
      <c r="EE11" s="39">
        <v>0.590093751935161</v>
      </c>
      <c r="EF11" s="39">
        <v>0.46352943910671002</v>
      </c>
      <c r="EG11" s="39">
        <v>0.34165305446557398</v>
      </c>
      <c r="EH11" s="39">
        <v>0.35757902653142698</v>
      </c>
      <c r="EI11" s="39">
        <v>0.50213823864002805</v>
      </c>
      <c r="EJ11" s="39">
        <v>0.68427818930780704</v>
      </c>
      <c r="EK11" s="39">
        <v>0.816818168467354</v>
      </c>
      <c r="EL11" s="39">
        <v>0.87712878183630005</v>
      </c>
      <c r="EN11" s="27" t="s">
        <v>2033</v>
      </c>
      <c r="EP11" s="13"/>
      <c r="EQ11" t="s">
        <v>2079</v>
      </c>
      <c r="FE11" s="14"/>
      <c r="FG11" s="13"/>
      <c r="FV11" s="14"/>
      <c r="GD11" s="13"/>
      <c r="GE11" t="s">
        <v>2125</v>
      </c>
      <c r="GQ11" s="15" t="s">
        <v>2140</v>
      </c>
      <c r="GR11" s="40">
        <v>1</v>
      </c>
      <c r="GS11" s="27" t="s">
        <v>2143</v>
      </c>
      <c r="GU11" s="13"/>
      <c r="GW11" t="s">
        <v>2248</v>
      </c>
      <c r="HA11" s="15"/>
      <c r="HB11" s="69"/>
      <c r="HC11" s="27" t="s">
        <v>2257</v>
      </c>
      <c r="HE11" s="13"/>
      <c r="HI11" s="14"/>
      <c r="HK11" s="13"/>
      <c r="HR11" s="14"/>
      <c r="HT11" s="13"/>
      <c r="IA11" s="14"/>
    </row>
    <row r="12" spans="1:235" ht="18" x14ac:dyDescent="0.35">
      <c r="B12" s="13"/>
      <c r="C12" t="s">
        <v>935</v>
      </c>
      <c r="E12" s="66"/>
      <c r="F12" s="24" t="s">
        <v>943</v>
      </c>
      <c r="G12" s="29" t="s">
        <v>1778</v>
      </c>
      <c r="H12" s="66"/>
      <c r="I12" s="24" t="s">
        <v>949</v>
      </c>
      <c r="J12" s="15" t="s">
        <v>953</v>
      </c>
      <c r="K12" s="66"/>
      <c r="L12" s="20" t="s">
        <v>956</v>
      </c>
      <c r="N12" s="13"/>
      <c r="O12" s="9" t="s">
        <v>965</v>
      </c>
      <c r="Q12" s="8"/>
      <c r="R12" s="6" t="s">
        <v>974</v>
      </c>
      <c r="S12" s="8"/>
      <c r="T12" s="6" t="s">
        <v>974</v>
      </c>
      <c r="U12" s="8"/>
      <c r="V12" s="6" t="s">
        <v>953</v>
      </c>
      <c r="W12" s="28">
        <v>0</v>
      </c>
      <c r="X12" s="6" t="s">
        <v>1790</v>
      </c>
      <c r="Y12" s="28">
        <v>0</v>
      </c>
      <c r="Z12" s="20" t="s">
        <v>979</v>
      </c>
      <c r="AA12" s="13"/>
      <c r="AQ12" s="14"/>
      <c r="AS12" s="13"/>
      <c r="AT12" t="s">
        <v>1782</v>
      </c>
      <c r="AZ12" s="70"/>
      <c r="BA12" s="25" t="s">
        <v>1778</v>
      </c>
      <c r="BB12" s="66"/>
      <c r="BC12" s="6" t="s">
        <v>953</v>
      </c>
      <c r="BD12" s="70"/>
      <c r="BI12" s="27" t="s">
        <v>1788</v>
      </c>
      <c r="BJ12" s="13"/>
      <c r="BK12" t="s">
        <v>1854</v>
      </c>
      <c r="BL12" s="40">
        <v>46.863683157792899</v>
      </c>
      <c r="BM12" s="40">
        <v>46.863683157791499</v>
      </c>
      <c r="BN12" s="40">
        <v>46.863683157790099</v>
      </c>
      <c r="BO12" s="40">
        <v>46.863683157783797</v>
      </c>
      <c r="BP12" s="40">
        <v>46.863683157782603</v>
      </c>
      <c r="BQ12" s="40">
        <v>46.863683157777103</v>
      </c>
      <c r="BR12" s="40">
        <v>46.863683157777103</v>
      </c>
      <c r="BS12" s="40">
        <v>46.863683157776101</v>
      </c>
      <c r="BT12" s="40">
        <v>46.863683157779199</v>
      </c>
      <c r="BU12" s="40">
        <v>46.863683157782603</v>
      </c>
      <c r="BV12" s="40">
        <v>46.863683157784997</v>
      </c>
      <c r="BW12" s="40">
        <v>46.863683157787499</v>
      </c>
      <c r="BY12" s="14"/>
      <c r="CA12" s="13"/>
      <c r="CB12" t="s">
        <v>1870</v>
      </c>
      <c r="CQ12" s="14"/>
      <c r="CS12" s="13"/>
      <c r="CT12" t="s">
        <v>1968</v>
      </c>
      <c r="CU12" s="40">
        <v>37.318429625374797</v>
      </c>
      <c r="CV12" s="40">
        <v>33.145898434479101</v>
      </c>
      <c r="CW12" s="40">
        <v>26.956056973484898</v>
      </c>
      <c r="CX12" s="40">
        <v>20.407468263142398</v>
      </c>
      <c r="CY12" s="40">
        <v>15.2548213599514</v>
      </c>
      <c r="CZ12" s="40">
        <v>12.8787638405047</v>
      </c>
      <c r="DA12" s="40">
        <v>13.9159583983079</v>
      </c>
      <c r="DB12" s="40">
        <v>18.088489589203601</v>
      </c>
      <c r="DC12" s="40">
        <v>24.278331050197799</v>
      </c>
      <c r="DD12" s="40">
        <v>30.826919760540299</v>
      </c>
      <c r="DE12" s="40">
        <v>35.979566663731298</v>
      </c>
      <c r="DF12" s="40">
        <v>38.355624183178001</v>
      </c>
      <c r="DG12" s="33" t="s">
        <v>1975</v>
      </c>
      <c r="DI12" s="13"/>
      <c r="DJ12" s="6"/>
      <c r="DK12" s="6"/>
      <c r="DL12" s="6"/>
      <c r="DM12" s="6"/>
      <c r="DN12" s="6"/>
      <c r="DO12" s="6"/>
      <c r="DP12" s="6"/>
      <c r="DQ12" s="6" t="s">
        <v>1993</v>
      </c>
      <c r="DR12" s="6"/>
      <c r="DS12" s="6" t="s">
        <v>1997</v>
      </c>
      <c r="DT12" s="6"/>
      <c r="DU12" s="6"/>
      <c r="DW12" s="14"/>
      <c r="DY12" s="13"/>
      <c r="EN12" s="14"/>
      <c r="EP12" s="13"/>
      <c r="EQ12" t="s">
        <v>2063</v>
      </c>
      <c r="ER12" s="39">
        <v>0.830114668123483</v>
      </c>
      <c r="ES12" s="39">
        <v>0.78319426989509699</v>
      </c>
      <c r="ET12" s="39">
        <v>0.72714242754996805</v>
      </c>
      <c r="EU12" s="39">
        <v>0.65370029396715601</v>
      </c>
      <c r="EV12" s="39">
        <v>0.55203567907641804</v>
      </c>
      <c r="EW12" s="39">
        <v>0.42170057972198899</v>
      </c>
      <c r="EX12" s="39">
        <v>0.29625044235125297</v>
      </c>
      <c r="EY12" s="39">
        <v>0.31226396475739998</v>
      </c>
      <c r="EZ12" s="39">
        <v>0.46017355052259001</v>
      </c>
      <c r="FA12" s="39">
        <v>0.64439090208876404</v>
      </c>
      <c r="FB12" s="39">
        <v>0.77975592275966399</v>
      </c>
      <c r="FC12" s="39">
        <v>0.84445298628749699</v>
      </c>
      <c r="FE12" s="27" t="s">
        <v>2070</v>
      </c>
      <c r="FG12" s="13"/>
      <c r="FH12" t="s">
        <v>2113</v>
      </c>
      <c r="FV12" s="14"/>
      <c r="GD12" s="13"/>
      <c r="GS12" s="14"/>
      <c r="GU12" s="13"/>
      <c r="GW12" t="s">
        <v>2249</v>
      </c>
      <c r="HA12" s="15" t="s">
        <v>2255</v>
      </c>
      <c r="HB12" s="69"/>
      <c r="HC12" s="27" t="s">
        <v>2258</v>
      </c>
      <c r="HE12" s="13"/>
      <c r="HF12" t="s">
        <v>2325</v>
      </c>
      <c r="HH12" s="28">
        <v>83</v>
      </c>
      <c r="HI12" s="27" t="s">
        <v>2330</v>
      </c>
      <c r="HK12" s="13"/>
      <c r="HL12" t="s">
        <v>2340</v>
      </c>
      <c r="HM12" s="36" t="s">
        <v>2156</v>
      </c>
      <c r="HN12" s="25" t="s">
        <v>1778</v>
      </c>
      <c r="HO12" s="67"/>
      <c r="HP12" s="25" t="s">
        <v>953</v>
      </c>
      <c r="HQ12" s="70"/>
      <c r="HR12" s="37" t="s">
        <v>2345</v>
      </c>
      <c r="HT12" s="13"/>
      <c r="HU12" t="s">
        <v>2340</v>
      </c>
      <c r="HV12" s="36" t="s">
        <v>2156</v>
      </c>
      <c r="HW12" s="25" t="s">
        <v>1778</v>
      </c>
      <c r="HX12" s="8"/>
      <c r="HY12" s="25" t="s">
        <v>953</v>
      </c>
      <c r="HZ12" s="70"/>
      <c r="IA12" s="37" t="s">
        <v>2382</v>
      </c>
    </row>
    <row r="13" spans="1:235" ht="18" x14ac:dyDescent="0.35">
      <c r="B13" s="13"/>
      <c r="C13" t="s">
        <v>936</v>
      </c>
      <c r="E13" s="66"/>
      <c r="F13" s="24" t="s">
        <v>944</v>
      </c>
      <c r="G13" s="29" t="s">
        <v>1778</v>
      </c>
      <c r="H13" s="66"/>
      <c r="I13" s="24" t="s">
        <v>950</v>
      </c>
      <c r="J13" s="15" t="s">
        <v>953</v>
      </c>
      <c r="K13" s="66"/>
      <c r="L13" s="20" t="s">
        <v>957</v>
      </c>
      <c r="N13" s="13"/>
      <c r="O13" s="9" t="s">
        <v>966</v>
      </c>
      <c r="Q13" s="8"/>
      <c r="R13" s="6" t="s">
        <v>974</v>
      </c>
      <c r="S13" s="8"/>
      <c r="T13" s="6" t="s">
        <v>974</v>
      </c>
      <c r="U13" s="8"/>
      <c r="V13" s="6" t="s">
        <v>953</v>
      </c>
      <c r="W13" s="28">
        <v>0</v>
      </c>
      <c r="X13" s="6" t="s">
        <v>1791</v>
      </c>
      <c r="Y13" s="28">
        <v>0</v>
      </c>
      <c r="Z13" s="20" t="s">
        <v>980</v>
      </c>
      <c r="AA13" s="13"/>
      <c r="AB13" t="s">
        <v>1059</v>
      </c>
      <c r="AQ13" s="14"/>
      <c r="AS13" s="13"/>
      <c r="AT13" t="s">
        <v>1795</v>
      </c>
      <c r="AZ13" s="70"/>
      <c r="BA13" s="25" t="s">
        <v>1778</v>
      </c>
      <c r="BB13" s="69"/>
      <c r="BC13" s="6" t="s">
        <v>1818</v>
      </c>
      <c r="BD13" s="70"/>
      <c r="BI13" s="27" t="s">
        <v>1804</v>
      </c>
      <c r="BJ13" s="13"/>
      <c r="BW13" s="15" t="s">
        <v>1859</v>
      </c>
      <c r="BX13" s="40">
        <v>46.863683157783797</v>
      </c>
      <c r="BY13" s="27" t="s">
        <v>1853</v>
      </c>
      <c r="CA13" s="13"/>
      <c r="CB13" t="s">
        <v>1872</v>
      </c>
      <c r="CD13" s="40">
        <v>0</v>
      </c>
      <c r="CE13" s="40">
        <v>0</v>
      </c>
      <c r="CF13" s="40">
        <v>0</v>
      </c>
      <c r="CG13" s="40">
        <v>0</v>
      </c>
      <c r="CH13" s="40">
        <v>0</v>
      </c>
      <c r="CI13" s="40">
        <v>0</v>
      </c>
      <c r="CJ13" s="40">
        <v>0</v>
      </c>
      <c r="CK13" s="40">
        <v>0</v>
      </c>
      <c r="CL13" s="40">
        <v>0</v>
      </c>
      <c r="CM13" s="40">
        <v>0</v>
      </c>
      <c r="CN13" s="40">
        <v>0</v>
      </c>
      <c r="CO13" s="40">
        <v>0</v>
      </c>
      <c r="CQ13" s="27" t="s">
        <v>1869</v>
      </c>
      <c r="CS13" s="13"/>
      <c r="CT13" t="s">
        <v>1962</v>
      </c>
      <c r="DG13" s="14"/>
      <c r="DI13" s="13"/>
      <c r="DJ13" s="6"/>
      <c r="DK13" s="6" t="s">
        <v>1987</v>
      </c>
      <c r="DL13" s="6"/>
      <c r="DM13" s="6" t="s">
        <v>1989</v>
      </c>
      <c r="DN13" s="6"/>
      <c r="DO13" s="6" t="s">
        <v>1992</v>
      </c>
      <c r="DP13" s="6"/>
      <c r="DQ13" s="6" t="s">
        <v>1994</v>
      </c>
      <c r="DR13" s="6"/>
      <c r="DS13" s="6" t="s">
        <v>1994</v>
      </c>
      <c r="DT13" s="6"/>
      <c r="DU13" s="6" t="s">
        <v>1999</v>
      </c>
      <c r="DW13" s="14"/>
      <c r="DY13" s="13"/>
      <c r="DZ13" t="s">
        <v>2051</v>
      </c>
      <c r="EN13" s="14"/>
      <c r="EP13" s="13"/>
      <c r="EQ13" t="s">
        <v>2080</v>
      </c>
      <c r="FE13" s="14"/>
      <c r="FG13" s="13"/>
      <c r="FH13" t="s">
        <v>2106</v>
      </c>
      <c r="FI13" s="66"/>
      <c r="FJ13" s="66"/>
      <c r="FK13" s="66"/>
      <c r="FL13" s="66"/>
      <c r="FM13" s="66"/>
      <c r="FN13" s="69"/>
      <c r="FO13" s="69"/>
      <c r="FP13" s="69"/>
      <c r="FQ13" s="66"/>
      <c r="FR13" s="66"/>
      <c r="FS13" s="66"/>
      <c r="FT13" s="66"/>
      <c r="FV13" s="27" t="s">
        <v>2098</v>
      </c>
      <c r="GD13" s="13"/>
      <c r="GE13" t="s">
        <v>2153</v>
      </c>
      <c r="GR13" s="40">
        <v>0</v>
      </c>
      <c r="GS13" s="27" t="s">
        <v>2144</v>
      </c>
      <c r="GU13" s="13"/>
      <c r="GW13" t="s">
        <v>2250</v>
      </c>
      <c r="GX13" s="6" t="s">
        <v>2256</v>
      </c>
      <c r="GY13" s="25" t="s">
        <v>1778</v>
      </c>
      <c r="GZ13" s="69"/>
      <c r="HA13" s="25" t="s">
        <v>2254</v>
      </c>
      <c r="HB13" s="69"/>
      <c r="HC13" s="27" t="s">
        <v>2259</v>
      </c>
      <c r="HE13" s="13"/>
      <c r="HI13" s="14"/>
      <c r="HK13" s="13"/>
      <c r="HR13" s="14"/>
      <c r="HT13" s="13"/>
      <c r="IA13" s="14"/>
    </row>
    <row r="14" spans="1:235" ht="18" x14ac:dyDescent="0.35">
      <c r="B14" s="13"/>
      <c r="C14" t="s">
        <v>937</v>
      </c>
      <c r="E14" s="66"/>
      <c r="F14" s="24" t="s">
        <v>945</v>
      </c>
      <c r="G14" s="29" t="s">
        <v>1778</v>
      </c>
      <c r="H14" s="66"/>
      <c r="I14" s="24" t="s">
        <v>951</v>
      </c>
      <c r="J14" s="15" t="s">
        <v>953</v>
      </c>
      <c r="K14" s="66"/>
      <c r="L14" s="20" t="s">
        <v>958</v>
      </c>
      <c r="N14" s="13"/>
      <c r="O14" s="9" t="s">
        <v>967</v>
      </c>
      <c r="Q14" s="8"/>
      <c r="R14" s="6" t="s">
        <v>974</v>
      </c>
      <c r="S14" s="8"/>
      <c r="T14" s="6" t="s">
        <v>974</v>
      </c>
      <c r="U14" s="8"/>
      <c r="V14" s="6" t="s">
        <v>953</v>
      </c>
      <c r="W14" s="28">
        <v>0</v>
      </c>
      <c r="X14" s="6" t="s">
        <v>1790</v>
      </c>
      <c r="Y14" s="28">
        <v>0</v>
      </c>
      <c r="Z14" s="20" t="s">
        <v>981</v>
      </c>
      <c r="AA14" s="13"/>
      <c r="AB14" t="s">
        <v>1057</v>
      </c>
      <c r="AD14" s="39">
        <v>1.2749999999999999</v>
      </c>
      <c r="AE14" s="39">
        <v>1.25</v>
      </c>
      <c r="AF14" s="39">
        <v>1.2250000000000001</v>
      </c>
      <c r="AG14" s="39">
        <v>1.1000000000000001</v>
      </c>
      <c r="AH14" s="39">
        <v>1.075</v>
      </c>
      <c r="AI14" s="39">
        <v>0.95</v>
      </c>
      <c r="AJ14" s="39">
        <v>0.95</v>
      </c>
      <c r="AK14" s="39">
        <v>0.92500000000000004</v>
      </c>
      <c r="AL14" s="39">
        <v>1</v>
      </c>
      <c r="AM14" s="39">
        <v>1.075</v>
      </c>
      <c r="AN14" s="39">
        <v>1.125</v>
      </c>
      <c r="AO14" s="39">
        <v>1.175</v>
      </c>
      <c r="AQ14" s="14"/>
      <c r="AS14" s="13"/>
      <c r="AT14" t="s">
        <v>1796</v>
      </c>
      <c r="AZ14" s="40">
        <v>7.5</v>
      </c>
      <c r="BA14" s="25" t="s">
        <v>1778</v>
      </c>
      <c r="BB14" s="28">
        <v>1.42</v>
      </c>
      <c r="BC14" s="6" t="s">
        <v>1818</v>
      </c>
      <c r="BD14" s="40">
        <v>10.6132075471698</v>
      </c>
      <c r="BI14" s="27" t="s">
        <v>1805</v>
      </c>
      <c r="BJ14" s="13"/>
      <c r="BK14" t="s">
        <v>1856</v>
      </c>
      <c r="BY14" s="14"/>
      <c r="CA14" s="13"/>
      <c r="CQ14" s="14"/>
      <c r="CS14" s="13"/>
      <c r="CT14" t="s">
        <v>1969</v>
      </c>
      <c r="CU14" s="40">
        <v>219.75215496052499</v>
      </c>
      <c r="CV14" s="40">
        <v>222.03249468866099</v>
      </c>
      <c r="CW14" s="40">
        <v>216.28611161699101</v>
      </c>
      <c r="CX14" s="40">
        <v>204.05274444896901</v>
      </c>
      <c r="CY14" s="40">
        <v>188.61031403797901</v>
      </c>
      <c r="CZ14" s="40">
        <v>174.09660714182101</v>
      </c>
      <c r="DA14" s="40">
        <v>164.40055980250099</v>
      </c>
      <c r="DB14" s="40">
        <v>162.12022007436499</v>
      </c>
      <c r="DC14" s="40">
        <v>167.86660314603401</v>
      </c>
      <c r="DD14" s="40">
        <v>180.099970314057</v>
      </c>
      <c r="DE14" s="40">
        <v>195.54240072504601</v>
      </c>
      <c r="DF14" s="40">
        <v>210.056107621205</v>
      </c>
      <c r="DG14" s="33" t="s">
        <v>1976</v>
      </c>
      <c r="DI14" s="13"/>
      <c r="DJ14" s="6"/>
      <c r="DK14" s="6" t="s">
        <v>1988</v>
      </c>
      <c r="DL14" s="6"/>
      <c r="DM14" s="6" t="s">
        <v>1990</v>
      </c>
      <c r="DN14" s="6"/>
      <c r="DO14" s="6" t="s">
        <v>1991</v>
      </c>
      <c r="DP14" s="6"/>
      <c r="DQ14" s="6" t="s">
        <v>1995</v>
      </c>
      <c r="DR14" s="6"/>
      <c r="DS14" s="6" t="s">
        <v>1998</v>
      </c>
      <c r="DT14" s="6"/>
      <c r="DU14" s="6" t="s">
        <v>2000</v>
      </c>
      <c r="DW14" s="14"/>
      <c r="DY14" s="13"/>
      <c r="DZ14" t="s">
        <v>2042</v>
      </c>
      <c r="EA14" s="40">
        <v>19.632646628760501</v>
      </c>
      <c r="EB14" s="40">
        <v>19.899831630795401</v>
      </c>
      <c r="EC14" s="40">
        <v>20.202448932953999</v>
      </c>
      <c r="ED14" s="40">
        <v>20.503355340647801</v>
      </c>
      <c r="EE14" s="40">
        <v>20.753572943223901</v>
      </c>
      <c r="EF14" s="40">
        <v>20.9116731864709</v>
      </c>
      <c r="EG14" s="40">
        <v>20.9732590698979</v>
      </c>
      <c r="EH14" s="40">
        <v>20.9683868413296</v>
      </c>
      <c r="EI14" s="40">
        <v>20.881931506236199</v>
      </c>
      <c r="EJ14" s="40">
        <v>20.583967897042601</v>
      </c>
      <c r="EK14" s="40">
        <v>20.0555724388757</v>
      </c>
      <c r="EL14" s="40">
        <v>19.546270987911001</v>
      </c>
      <c r="EN14" s="27" t="s">
        <v>2034</v>
      </c>
      <c r="EP14" s="13"/>
      <c r="EQ14" t="s">
        <v>2064</v>
      </c>
      <c r="ER14" s="40">
        <v>453.75666148019099</v>
      </c>
      <c r="ES14" s="40">
        <v>483.00585155372698</v>
      </c>
      <c r="ET14" s="40">
        <v>474.87838832987001</v>
      </c>
      <c r="EU14" s="40">
        <v>430.05415220831298</v>
      </c>
      <c r="EV14" s="40">
        <v>355.36457853361202</v>
      </c>
      <c r="EW14" s="40">
        <v>254.61167703647001</v>
      </c>
      <c r="EX14" s="40">
        <v>173.53177038240199</v>
      </c>
      <c r="EY14" s="40">
        <v>181.983879006867</v>
      </c>
      <c r="EZ14" s="40">
        <v>271.76101613059899</v>
      </c>
      <c r="FA14" s="40">
        <v>369.99117603738802</v>
      </c>
      <c r="FB14" s="40">
        <v>417.08315970405698</v>
      </c>
      <c r="FC14" s="40">
        <v>440.10990527147999</v>
      </c>
      <c r="FE14" s="27" t="s">
        <v>2071</v>
      </c>
      <c r="FG14" s="13"/>
      <c r="FV14" s="14"/>
      <c r="GD14" s="13"/>
      <c r="GS14" s="14"/>
      <c r="GU14" s="13"/>
      <c r="GW14" t="s">
        <v>2262</v>
      </c>
      <c r="GX14" s="6" t="s">
        <v>2264</v>
      </c>
      <c r="GY14" s="25" t="s">
        <v>1778</v>
      </c>
      <c r="GZ14" s="69"/>
      <c r="HA14" s="25" t="s">
        <v>2254</v>
      </c>
      <c r="HB14" s="69"/>
      <c r="HC14" s="27" t="s">
        <v>2260</v>
      </c>
      <c r="HE14" s="13"/>
      <c r="HF14" t="s">
        <v>2326</v>
      </c>
      <c r="HH14" s="28" t="s">
        <v>2752</v>
      </c>
      <c r="HI14" s="14"/>
      <c r="HK14" s="13"/>
      <c r="HL14" t="s">
        <v>2341</v>
      </c>
      <c r="HM14" s="36" t="s">
        <v>2155</v>
      </c>
      <c r="HN14" s="25" t="s">
        <v>1778</v>
      </c>
      <c r="HO14" s="66"/>
      <c r="HP14" s="25" t="s">
        <v>953</v>
      </c>
      <c r="HQ14" s="70"/>
      <c r="HR14" s="37" t="s">
        <v>2346</v>
      </c>
      <c r="HT14" s="13"/>
      <c r="HU14" t="s">
        <v>2341</v>
      </c>
      <c r="HV14" s="36" t="s">
        <v>2155</v>
      </c>
      <c r="HW14" s="25" t="s">
        <v>1778</v>
      </c>
      <c r="HX14" s="8"/>
      <c r="HY14" s="25" t="s">
        <v>953</v>
      </c>
      <c r="HZ14" s="70"/>
      <c r="IA14" s="37" t="s">
        <v>2383</v>
      </c>
    </row>
    <row r="15" spans="1:235" ht="18" x14ac:dyDescent="0.35">
      <c r="B15" s="13"/>
      <c r="C15" t="s">
        <v>938</v>
      </c>
      <c r="E15" s="66"/>
      <c r="F15" s="24" t="s">
        <v>946</v>
      </c>
      <c r="G15" s="29" t="s">
        <v>1778</v>
      </c>
      <c r="H15" s="66"/>
      <c r="I15" s="24" t="s">
        <v>952</v>
      </c>
      <c r="J15" s="15" t="s">
        <v>953</v>
      </c>
      <c r="K15" s="66"/>
      <c r="L15" s="20" t="s">
        <v>959</v>
      </c>
      <c r="N15" s="13"/>
      <c r="O15" s="9" t="s">
        <v>968</v>
      </c>
      <c r="Q15" s="8"/>
      <c r="R15" s="6" t="s">
        <v>974</v>
      </c>
      <c r="S15" s="8"/>
      <c r="T15" s="6" t="s">
        <v>974</v>
      </c>
      <c r="U15" s="8"/>
      <c r="V15" s="6" t="s">
        <v>953</v>
      </c>
      <c r="W15" s="28">
        <v>0</v>
      </c>
      <c r="X15" s="6" t="s">
        <v>1792</v>
      </c>
      <c r="Y15" s="28">
        <v>0</v>
      </c>
      <c r="Z15" s="20" t="s">
        <v>982</v>
      </c>
      <c r="AA15" s="13"/>
      <c r="AQ15" s="14"/>
      <c r="AS15" s="13"/>
      <c r="AT15" t="s">
        <v>1797</v>
      </c>
      <c r="AZ15" s="70"/>
      <c r="BA15" s="25" t="s">
        <v>1778</v>
      </c>
      <c r="BB15" s="66"/>
      <c r="BC15" s="6" t="s">
        <v>953</v>
      </c>
      <c r="BD15" s="70"/>
      <c r="BI15" s="27" t="s">
        <v>1813</v>
      </c>
      <c r="BJ15" s="13"/>
      <c r="BK15" t="s">
        <v>1857</v>
      </c>
      <c r="BL15" s="39">
        <v>0.93727366315585803</v>
      </c>
      <c r="BM15" s="39">
        <v>0.93727366315583005</v>
      </c>
      <c r="BN15" s="39">
        <v>0.93727366315580296</v>
      </c>
      <c r="BO15" s="39">
        <v>0.93727366315567695</v>
      </c>
      <c r="BP15" s="39">
        <v>0.93727366315565297</v>
      </c>
      <c r="BQ15" s="39">
        <v>0.93727366315554295</v>
      </c>
      <c r="BR15" s="39">
        <v>0.93727366315554295</v>
      </c>
      <c r="BS15" s="39">
        <v>0.93727366315552196</v>
      </c>
      <c r="BT15" s="39">
        <v>0.93727366315558502</v>
      </c>
      <c r="BU15" s="39">
        <v>0.93727366315565297</v>
      </c>
      <c r="BV15" s="39">
        <v>0.93727366315570104</v>
      </c>
      <c r="BW15" s="39">
        <v>0.937273663155751</v>
      </c>
      <c r="BY15" s="14"/>
      <c r="CA15" s="13"/>
      <c r="CB15" t="s">
        <v>1871</v>
      </c>
      <c r="CQ15" s="14"/>
      <c r="CS15" s="13"/>
      <c r="CT15" t="s">
        <v>1963</v>
      </c>
      <c r="DG15" s="14"/>
      <c r="DI15" s="13"/>
      <c r="DJ15" t="s">
        <v>2001</v>
      </c>
      <c r="DK15" s="66"/>
      <c r="DL15" s="25" t="s">
        <v>1778</v>
      </c>
      <c r="DM15" s="66"/>
      <c r="DN15" s="25" t="s">
        <v>1778</v>
      </c>
      <c r="DO15" s="66"/>
      <c r="DP15" s="25" t="s">
        <v>2010</v>
      </c>
      <c r="DQ15" s="66"/>
      <c r="DR15" s="25" t="s">
        <v>1778</v>
      </c>
      <c r="DS15" s="66"/>
      <c r="DT15" s="6" t="s">
        <v>953</v>
      </c>
      <c r="DU15" s="70"/>
      <c r="DV15" s="35" t="s">
        <v>2011</v>
      </c>
      <c r="DW15" s="14"/>
      <c r="DY15" s="13"/>
      <c r="DZ15" t="s">
        <v>2052</v>
      </c>
      <c r="EN15" s="14"/>
      <c r="EP15" s="13"/>
      <c r="EQ15" t="s">
        <v>2058</v>
      </c>
      <c r="FE15" s="14"/>
      <c r="FG15" s="13"/>
      <c r="FH15" t="s">
        <v>2114</v>
      </c>
      <c r="FV15" s="14"/>
      <c r="GD15" s="13"/>
      <c r="GE15" t="s">
        <v>2126</v>
      </c>
      <c r="GQ15" s="15" t="s">
        <v>2141</v>
      </c>
      <c r="GR15" s="40">
        <v>1</v>
      </c>
      <c r="GS15" s="27" t="s">
        <v>2145</v>
      </c>
      <c r="GU15" s="13"/>
      <c r="GV15" t="s">
        <v>2263</v>
      </c>
      <c r="GX15" s="36" t="s">
        <v>2154</v>
      </c>
      <c r="GY15" s="25" t="s">
        <v>1778</v>
      </c>
      <c r="GZ15" s="28">
        <v>3.64</v>
      </c>
      <c r="HA15" s="25" t="s">
        <v>2254</v>
      </c>
      <c r="HB15" s="42">
        <v>40.361742904740197</v>
      </c>
      <c r="HC15" s="27" t="s">
        <v>2261</v>
      </c>
      <c r="HE15" s="16"/>
      <c r="HF15" s="17"/>
      <c r="HG15" s="17"/>
      <c r="HH15" s="17"/>
      <c r="HI15" s="18"/>
      <c r="HK15" s="13"/>
      <c r="HR15" s="14"/>
      <c r="HT15" s="13"/>
      <c r="IA15" s="14"/>
    </row>
    <row r="16" spans="1:235" ht="18" x14ac:dyDescent="0.35">
      <c r="B16" s="13"/>
      <c r="C16" t="s">
        <v>939</v>
      </c>
      <c r="D16" s="23" t="s">
        <v>1002</v>
      </c>
      <c r="E16" s="28">
        <v>50</v>
      </c>
      <c r="L16" s="21" t="s">
        <v>960</v>
      </c>
      <c r="N16" s="13"/>
      <c r="O16" t="s">
        <v>987</v>
      </c>
      <c r="W16" s="28">
        <v>0</v>
      </c>
      <c r="X16" s="25" t="s">
        <v>1793</v>
      </c>
      <c r="Y16" s="28">
        <v>0</v>
      </c>
      <c r="Z16" s="20" t="s">
        <v>983</v>
      </c>
      <c r="AA16" s="13"/>
      <c r="AB16" t="s">
        <v>1058</v>
      </c>
      <c r="AQ16" s="14"/>
      <c r="AS16" s="13"/>
      <c r="AT16" t="s">
        <v>1798</v>
      </c>
      <c r="AZ16" s="70"/>
      <c r="BA16" s="25" t="s">
        <v>1778</v>
      </c>
      <c r="BB16" s="69"/>
      <c r="BC16" s="6" t="s">
        <v>953</v>
      </c>
      <c r="BD16" s="70"/>
      <c r="BF16" s="69"/>
      <c r="BH16" s="70"/>
      <c r="BI16" s="27" t="s">
        <v>1806</v>
      </c>
      <c r="BJ16" s="13"/>
      <c r="BW16" s="15" t="s">
        <v>1860</v>
      </c>
      <c r="BX16" s="39">
        <v>0.93727366315567695</v>
      </c>
      <c r="BY16" s="27" t="s">
        <v>1858</v>
      </c>
      <c r="CA16" s="13"/>
      <c r="CB16" t="s">
        <v>1874</v>
      </c>
      <c r="CD16" s="40">
        <v>63.727552609777902</v>
      </c>
      <c r="CE16" s="40">
        <v>62.781108802916101</v>
      </c>
      <c r="CF16" s="40">
        <v>61.448317772981497</v>
      </c>
      <c r="CG16" s="40">
        <v>58.990892695743298</v>
      </c>
      <c r="CH16" s="40">
        <v>57.150798446625799</v>
      </c>
      <c r="CI16" s="40">
        <v>55.110427376775903</v>
      </c>
      <c r="CJ16" s="40">
        <v>54.008322556752802</v>
      </c>
      <c r="CK16" s="40">
        <v>55.331790687545499</v>
      </c>
      <c r="CL16" s="40">
        <v>56.772805100889698</v>
      </c>
      <c r="CM16" s="40">
        <v>58.9560718197786</v>
      </c>
      <c r="CN16" s="40">
        <v>61.464105175013898</v>
      </c>
      <c r="CO16" s="40">
        <v>63.512111255451401</v>
      </c>
      <c r="CQ16" s="27" t="s">
        <v>1876</v>
      </c>
      <c r="CS16" s="13"/>
      <c r="CT16" t="s">
        <v>1970</v>
      </c>
      <c r="CU16" s="40">
        <v>46.830706223594198</v>
      </c>
      <c r="CV16" s="40">
        <v>46.830706223594198</v>
      </c>
      <c r="CW16" s="40">
        <v>46.830706223594198</v>
      </c>
      <c r="CX16" s="40">
        <v>46.830706223594198</v>
      </c>
      <c r="CY16" s="40">
        <v>46.830706223594198</v>
      </c>
      <c r="CZ16" s="40">
        <v>46.830706223594198</v>
      </c>
      <c r="DA16" s="40">
        <v>46.830706223594198</v>
      </c>
      <c r="DB16" s="40">
        <v>46.830706223594198</v>
      </c>
      <c r="DC16" s="40">
        <v>46.830706223594198</v>
      </c>
      <c r="DD16" s="40">
        <v>46.830706223594198</v>
      </c>
      <c r="DE16" s="40">
        <v>46.830706223594198</v>
      </c>
      <c r="DF16" s="40">
        <v>46.830706223594198</v>
      </c>
      <c r="DG16" s="33" t="s">
        <v>1977</v>
      </c>
      <c r="DI16" s="13"/>
      <c r="DJ16" t="s">
        <v>2002</v>
      </c>
      <c r="DK16" s="66"/>
      <c r="DL16" s="25" t="s">
        <v>1778</v>
      </c>
      <c r="DM16" s="66"/>
      <c r="DN16" s="25" t="s">
        <v>1778</v>
      </c>
      <c r="DO16" s="66"/>
      <c r="DP16" s="25" t="s">
        <v>2010</v>
      </c>
      <c r="DQ16" s="66"/>
      <c r="DR16" s="25" t="s">
        <v>1778</v>
      </c>
      <c r="DS16" s="66"/>
      <c r="DT16" s="6" t="s">
        <v>953</v>
      </c>
      <c r="DU16" s="70"/>
      <c r="DV16" s="35" t="s">
        <v>2012</v>
      </c>
      <c r="DW16" s="14"/>
      <c r="DY16" s="13"/>
      <c r="DZ16" t="s">
        <v>2043</v>
      </c>
      <c r="EA16" s="40">
        <v>20.135933163481202</v>
      </c>
      <c r="EB16" s="40">
        <v>20.135933163481202</v>
      </c>
      <c r="EC16" s="40">
        <v>20.135933163481301</v>
      </c>
      <c r="ED16" s="40">
        <v>20.1359331634814</v>
      </c>
      <c r="EE16" s="40">
        <v>20.1359331634814</v>
      </c>
      <c r="EF16" s="40">
        <v>20.1359331634815</v>
      </c>
      <c r="EG16" s="40">
        <v>20.1359331634815</v>
      </c>
      <c r="EH16" s="40">
        <v>20.1359331634815</v>
      </c>
      <c r="EI16" s="40">
        <v>20.1359331634815</v>
      </c>
      <c r="EJ16" s="40">
        <v>20.1359331634814</v>
      </c>
      <c r="EK16" s="40">
        <v>20.1359331634814</v>
      </c>
      <c r="EL16" s="40">
        <v>20.135933163481301</v>
      </c>
      <c r="EN16" s="27" t="s">
        <v>2035</v>
      </c>
      <c r="EP16" s="13"/>
      <c r="EQ16" t="s">
        <v>2065</v>
      </c>
      <c r="ER16" s="40">
        <v>4.3</v>
      </c>
      <c r="ES16" s="40">
        <v>4.9000000000000004</v>
      </c>
      <c r="ET16" s="40">
        <v>6.5</v>
      </c>
      <c r="EU16" s="40">
        <v>8.9</v>
      </c>
      <c r="EV16" s="40">
        <v>11.7</v>
      </c>
      <c r="EW16" s="40">
        <v>14.6</v>
      </c>
      <c r="EX16" s="40">
        <v>16.600000000000001</v>
      </c>
      <c r="EY16" s="40">
        <v>16.399999999999999</v>
      </c>
      <c r="EZ16" s="40">
        <v>14.1</v>
      </c>
      <c r="FA16" s="40">
        <v>10.6</v>
      </c>
      <c r="FB16" s="40">
        <v>7.1</v>
      </c>
      <c r="FC16" s="40">
        <v>4.2</v>
      </c>
      <c r="FE16" s="27" t="s">
        <v>2072</v>
      </c>
      <c r="FG16" s="13"/>
      <c r="FH16" t="s">
        <v>2107</v>
      </c>
      <c r="FI16" s="66"/>
      <c r="FJ16" s="66"/>
      <c r="FK16" s="66"/>
      <c r="FL16" s="66"/>
      <c r="FM16" s="66"/>
      <c r="FN16" s="69"/>
      <c r="FO16" s="69"/>
      <c r="FP16" s="69"/>
      <c r="FQ16" s="66"/>
      <c r="FR16" s="66"/>
      <c r="FS16" s="66"/>
      <c r="FT16" s="66"/>
      <c r="FV16" s="27" t="s">
        <v>2099</v>
      </c>
      <c r="GD16" s="13"/>
      <c r="GS16" s="14"/>
      <c r="GU16" s="13"/>
      <c r="HC16" s="14"/>
      <c r="HK16" s="13"/>
      <c r="HL16" t="s">
        <v>2342</v>
      </c>
      <c r="HM16" s="36" t="s">
        <v>2182</v>
      </c>
      <c r="HN16" s="25" t="s">
        <v>1778</v>
      </c>
      <c r="HO16" s="28" t="s">
        <v>2719</v>
      </c>
      <c r="HP16" s="25" t="s">
        <v>953</v>
      </c>
      <c r="HQ16" s="40">
        <v>506.64570073627101</v>
      </c>
      <c r="HR16" s="37" t="s">
        <v>2347</v>
      </c>
      <c r="HT16" s="13"/>
      <c r="HU16" t="s">
        <v>2342</v>
      </c>
      <c r="HV16" s="36" t="s">
        <v>2182</v>
      </c>
      <c r="HW16" s="25" t="s">
        <v>1778</v>
      </c>
      <c r="HX16" s="8"/>
      <c r="HY16" s="25" t="s">
        <v>953</v>
      </c>
      <c r="HZ16" s="40">
        <v>2726.2363896761199</v>
      </c>
      <c r="IA16" s="37" t="s">
        <v>2384</v>
      </c>
    </row>
    <row r="17" spans="2:235" ht="18" x14ac:dyDescent="0.35">
      <c r="B17" s="13"/>
      <c r="C17" t="s">
        <v>940</v>
      </c>
      <c r="I17" s="22" t="s">
        <v>996</v>
      </c>
      <c r="J17" s="15" t="s">
        <v>995</v>
      </c>
      <c r="K17" s="28">
        <v>150</v>
      </c>
      <c r="L17" s="21" t="s">
        <v>961</v>
      </c>
      <c r="N17" s="13"/>
      <c r="O17" t="s">
        <v>988</v>
      </c>
      <c r="W17" s="28">
        <v>0</v>
      </c>
      <c r="X17" s="6" t="s">
        <v>1791</v>
      </c>
      <c r="Y17" s="28">
        <v>0</v>
      </c>
      <c r="Z17" s="20" t="s">
        <v>984</v>
      </c>
      <c r="AA17" s="13"/>
      <c r="AB17" t="s">
        <v>1060</v>
      </c>
      <c r="AD17" s="39">
        <v>1.1967213749999901E-6</v>
      </c>
      <c r="AE17" s="39">
        <v>1.17325625E-6</v>
      </c>
      <c r="AF17" s="39">
        <v>1.1497911250000001E-6</v>
      </c>
      <c r="AG17" s="39">
        <v>1.0324655000000001E-6</v>
      </c>
      <c r="AH17" s="39">
        <v>1.009000375E-6</v>
      </c>
      <c r="AI17" s="39">
        <v>8.9167474999999901E-7</v>
      </c>
      <c r="AJ17" s="39">
        <v>8.9167474999999901E-7</v>
      </c>
      <c r="AK17" s="39">
        <v>8.6820962499999998E-7</v>
      </c>
      <c r="AL17" s="39">
        <v>9.3860499999999897E-7</v>
      </c>
      <c r="AM17" s="39">
        <v>1.009000375E-6</v>
      </c>
      <c r="AN17" s="39">
        <v>1.0559306249999999E-6</v>
      </c>
      <c r="AO17" s="39">
        <v>1.1028608749999999E-6</v>
      </c>
      <c r="AQ17" s="14"/>
      <c r="AS17" s="13"/>
      <c r="AT17" t="s">
        <v>934</v>
      </c>
      <c r="AZ17" s="40">
        <v>50</v>
      </c>
      <c r="BA17" s="25" t="s">
        <v>1778</v>
      </c>
      <c r="BB17" s="28">
        <v>0</v>
      </c>
      <c r="BC17" s="6" t="s">
        <v>953</v>
      </c>
      <c r="BD17" s="40">
        <v>1.34086E-4</v>
      </c>
      <c r="BF17" s="28">
        <v>100</v>
      </c>
      <c r="BH17" s="40">
        <v>5000</v>
      </c>
      <c r="BI17" s="27" t="s">
        <v>1807</v>
      </c>
      <c r="BJ17" s="13"/>
      <c r="BK17" t="s">
        <v>1861</v>
      </c>
      <c r="BY17" s="14"/>
      <c r="CA17" s="13"/>
      <c r="CQ17" s="14"/>
      <c r="CS17" s="13"/>
      <c r="CT17" t="s">
        <v>1964</v>
      </c>
      <c r="DG17" s="14"/>
      <c r="DI17" s="13"/>
      <c r="DJ17" t="s">
        <v>2003</v>
      </c>
      <c r="DK17" s="66"/>
      <c r="DL17" s="25" t="s">
        <v>1778</v>
      </c>
      <c r="DM17" s="66"/>
      <c r="DN17" s="25" t="s">
        <v>1778</v>
      </c>
      <c r="DO17" s="66"/>
      <c r="DP17" s="25" t="s">
        <v>2010</v>
      </c>
      <c r="DQ17" s="66"/>
      <c r="DR17" s="25" t="s">
        <v>1778</v>
      </c>
      <c r="DS17" s="66"/>
      <c r="DT17" s="6" t="s">
        <v>953</v>
      </c>
      <c r="DU17" s="70"/>
      <c r="DV17" s="35" t="s">
        <v>2013</v>
      </c>
      <c r="DW17" s="14"/>
      <c r="DY17" s="13"/>
      <c r="DZ17" t="s">
        <v>2053</v>
      </c>
      <c r="EN17" s="14"/>
      <c r="EP17" s="13"/>
      <c r="EQ17" t="s">
        <v>2081</v>
      </c>
      <c r="FE17" s="14"/>
      <c r="FG17" s="13"/>
      <c r="FV17" s="14"/>
      <c r="GD17" s="13"/>
      <c r="GE17" t="s">
        <v>2127</v>
      </c>
      <c r="GQ17" s="15" t="s">
        <v>2142</v>
      </c>
      <c r="GR17" s="40">
        <v>0</v>
      </c>
      <c r="GS17" s="27" t="s">
        <v>2146</v>
      </c>
      <c r="GU17" s="13"/>
      <c r="GV17" t="s">
        <v>2265</v>
      </c>
      <c r="HC17" s="14"/>
      <c r="HK17" s="13"/>
      <c r="HL17" s="2" t="s">
        <v>2344</v>
      </c>
      <c r="HR17" s="14"/>
      <c r="HT17" s="13"/>
      <c r="HU17" s="2" t="s">
        <v>2344</v>
      </c>
      <c r="IA17" s="14"/>
    </row>
    <row r="18" spans="2:235" ht="18" x14ac:dyDescent="0.35">
      <c r="B18" s="16"/>
      <c r="C18" s="17"/>
      <c r="D18" s="17"/>
      <c r="E18" s="17"/>
      <c r="F18" s="17"/>
      <c r="G18" s="17"/>
      <c r="H18" s="17"/>
      <c r="I18" s="17"/>
      <c r="J18" s="17"/>
      <c r="K18" s="17"/>
      <c r="L18" s="18"/>
      <c r="N18" s="13"/>
      <c r="O18" t="s">
        <v>989</v>
      </c>
      <c r="W18" s="28">
        <v>0</v>
      </c>
      <c r="X18" s="6" t="s">
        <v>1791</v>
      </c>
      <c r="Y18" s="28">
        <v>0</v>
      </c>
      <c r="Z18" s="20" t="s">
        <v>985</v>
      </c>
      <c r="AA18" s="13"/>
      <c r="AQ18" s="14"/>
      <c r="AS18" s="13"/>
      <c r="AT18" t="s">
        <v>1799</v>
      </c>
      <c r="AZ18" s="70"/>
      <c r="BA18" s="25" t="s">
        <v>1778</v>
      </c>
      <c r="BB18" s="66"/>
      <c r="BC18" s="6" t="s">
        <v>953</v>
      </c>
      <c r="BD18" s="70"/>
      <c r="BF18" s="66"/>
      <c r="BH18" s="70"/>
      <c r="BI18" s="27" t="s">
        <v>1808</v>
      </c>
      <c r="BJ18" s="13"/>
      <c r="BL18" s="8" t="s">
        <v>1044</v>
      </c>
      <c r="BM18" s="8" t="s">
        <v>1045</v>
      </c>
      <c r="BN18" s="8" t="s">
        <v>1046</v>
      </c>
      <c r="BO18" s="8" t="s">
        <v>1047</v>
      </c>
      <c r="BP18" s="8" t="s">
        <v>1048</v>
      </c>
      <c r="BQ18" s="8" t="s">
        <v>1049</v>
      </c>
      <c r="BR18" s="8" t="s">
        <v>1050</v>
      </c>
      <c r="BS18" s="8" t="s">
        <v>1051</v>
      </c>
      <c r="BT18" s="8" t="s">
        <v>1052</v>
      </c>
      <c r="BU18" s="8" t="s">
        <v>1053</v>
      </c>
      <c r="BV18" s="8" t="s">
        <v>1054</v>
      </c>
      <c r="BW18" s="8" t="s">
        <v>1055</v>
      </c>
      <c r="BY18" s="14"/>
      <c r="CA18" s="13"/>
      <c r="CB18" t="s">
        <v>1873</v>
      </c>
      <c r="CQ18" s="14"/>
      <c r="CS18" s="13"/>
      <c r="CT18" t="s">
        <v>1971</v>
      </c>
      <c r="CU18" s="40">
        <v>7</v>
      </c>
      <c r="CV18" s="40">
        <v>7</v>
      </c>
      <c r="CW18" s="40">
        <v>7</v>
      </c>
      <c r="CX18" s="40">
        <v>7</v>
      </c>
      <c r="CY18" s="40">
        <v>7</v>
      </c>
      <c r="CZ18" s="40">
        <v>0</v>
      </c>
      <c r="DA18" s="40">
        <v>0</v>
      </c>
      <c r="DB18" s="40">
        <v>0</v>
      </c>
      <c r="DC18" s="40">
        <v>0</v>
      </c>
      <c r="DD18" s="40">
        <v>7</v>
      </c>
      <c r="DE18" s="40">
        <v>7</v>
      </c>
      <c r="DF18" s="40">
        <v>7</v>
      </c>
      <c r="DG18" s="33" t="s">
        <v>1978</v>
      </c>
      <c r="DI18" s="13"/>
      <c r="DJ18" t="s">
        <v>2004</v>
      </c>
      <c r="DK18" s="66"/>
      <c r="DL18" s="25" t="s">
        <v>1778</v>
      </c>
      <c r="DM18" s="66"/>
      <c r="DN18" s="25" t="s">
        <v>1778</v>
      </c>
      <c r="DO18" s="66"/>
      <c r="DP18" s="25" t="s">
        <v>2010</v>
      </c>
      <c r="DQ18" s="66"/>
      <c r="DR18" s="25" t="s">
        <v>1778</v>
      </c>
      <c r="DS18" s="66"/>
      <c r="DT18" s="6" t="s">
        <v>953</v>
      </c>
      <c r="DU18" s="70"/>
      <c r="DV18" s="35" t="s">
        <v>2014</v>
      </c>
      <c r="DW18" s="14"/>
      <c r="DY18" s="13"/>
      <c r="DZ18" t="s">
        <v>2044</v>
      </c>
      <c r="EA18" s="39">
        <v>0.84924865293375895</v>
      </c>
      <c r="EB18" s="39">
        <v>0.80039089750935899</v>
      </c>
      <c r="EC18" s="39">
        <v>0.74028409055401001</v>
      </c>
      <c r="ED18" s="39">
        <v>0.66016955180738002</v>
      </c>
      <c r="EE18" s="39">
        <v>0.54925332398932403</v>
      </c>
      <c r="EF18" s="39">
        <v>0.409129586486286</v>
      </c>
      <c r="EG18" s="39">
        <v>0.27812512464636202</v>
      </c>
      <c r="EH18" s="39">
        <v>0.29450080009086799</v>
      </c>
      <c r="EI18" s="39">
        <v>0.44948096346291899</v>
      </c>
      <c r="EJ18" s="39">
        <v>0.64856959535480996</v>
      </c>
      <c r="EK18" s="39">
        <v>0.795833886541508</v>
      </c>
      <c r="EL18" s="39">
        <v>0.86383603437840095</v>
      </c>
      <c r="EN18" s="27" t="s">
        <v>2036</v>
      </c>
      <c r="EP18" s="13"/>
      <c r="EQ18" t="s">
        <v>2066</v>
      </c>
      <c r="ER18" s="40">
        <v>694.91310040699398</v>
      </c>
      <c r="ES18" s="40">
        <v>678.85842274163201</v>
      </c>
      <c r="ET18" s="40">
        <v>617.49516873749303</v>
      </c>
      <c r="EU18" s="40">
        <v>518.39889300439199</v>
      </c>
      <c r="EV18" s="40">
        <v>397.98986539308498</v>
      </c>
      <c r="EW18" s="40">
        <v>268.54758594134398</v>
      </c>
      <c r="EX18" s="40">
        <v>177.07560938822201</v>
      </c>
      <c r="EY18" s="40">
        <v>186.28513840805999</v>
      </c>
      <c r="EZ18" s="40">
        <v>290.83807209223897</v>
      </c>
      <c r="FA18" s="40">
        <v>442.42753683237498</v>
      </c>
      <c r="FB18" s="40">
        <v>583.02804953777604</v>
      </c>
      <c r="FC18" s="40">
        <v>695.68554880952001</v>
      </c>
      <c r="FE18" s="27" t="s">
        <v>2073</v>
      </c>
      <c r="FG18" s="13"/>
      <c r="FH18" t="s">
        <v>2090</v>
      </c>
      <c r="FV18" s="14"/>
      <c r="GD18" s="13"/>
      <c r="GS18" s="14"/>
      <c r="GU18" s="13"/>
      <c r="GW18" t="s">
        <v>2248</v>
      </c>
      <c r="HA18" s="15"/>
      <c r="HB18" s="71"/>
      <c r="HC18" s="27" t="s">
        <v>2266</v>
      </c>
      <c r="HK18" s="13"/>
      <c r="HR18" s="14"/>
      <c r="HT18" s="13"/>
      <c r="IA18" s="14"/>
    </row>
    <row r="19" spans="2:235" ht="18" x14ac:dyDescent="0.35">
      <c r="N19" s="13"/>
      <c r="O19" t="s">
        <v>990</v>
      </c>
      <c r="W19" s="28">
        <v>0</v>
      </c>
      <c r="X19" s="6" t="s">
        <v>1794</v>
      </c>
      <c r="Y19" s="28">
        <v>0</v>
      </c>
      <c r="Z19" s="20" t="s">
        <v>986</v>
      </c>
      <c r="AA19" s="13"/>
      <c r="AB19" t="s">
        <v>1061</v>
      </c>
      <c r="AQ19" s="14"/>
      <c r="AS19" s="13"/>
      <c r="AT19" t="s">
        <v>1800</v>
      </c>
      <c r="AV19" s="66"/>
      <c r="AW19" s="30" t="s">
        <v>1803</v>
      </c>
      <c r="AX19" s="66"/>
      <c r="AY19" s="6" t="s">
        <v>953</v>
      </c>
      <c r="AZ19" s="70"/>
      <c r="BA19" s="25" t="s">
        <v>1778</v>
      </c>
      <c r="BB19" s="69"/>
      <c r="BC19" s="6" t="s">
        <v>953</v>
      </c>
      <c r="BD19" s="70"/>
      <c r="BF19" s="69"/>
      <c r="BH19" s="70"/>
      <c r="BI19" s="27" t="s">
        <v>1809</v>
      </c>
      <c r="BJ19" s="13"/>
      <c r="BK19" t="s">
        <v>1862</v>
      </c>
      <c r="BL19" s="28">
        <v>31</v>
      </c>
      <c r="BM19" s="28">
        <v>28</v>
      </c>
      <c r="BN19" s="28">
        <v>31</v>
      </c>
      <c r="BO19" s="28">
        <v>30</v>
      </c>
      <c r="BP19" s="28">
        <v>31</v>
      </c>
      <c r="BQ19" s="28">
        <v>30</v>
      </c>
      <c r="BR19" s="28">
        <v>31</v>
      </c>
      <c r="BS19" s="28">
        <v>31</v>
      </c>
      <c r="BT19" s="28">
        <v>30</v>
      </c>
      <c r="BU19" s="28">
        <v>31</v>
      </c>
      <c r="BV19" s="28">
        <v>30</v>
      </c>
      <c r="BW19" s="28">
        <v>31</v>
      </c>
      <c r="BY19" s="27" t="s">
        <v>1863</v>
      </c>
      <c r="CA19" s="13"/>
      <c r="CB19" t="s">
        <v>1875</v>
      </c>
      <c r="CD19" s="40">
        <v>33.619287584335098</v>
      </c>
      <c r="CE19" s="40">
        <v>32.396768035813899</v>
      </c>
      <c r="CF19" s="40">
        <v>31.174248487292601</v>
      </c>
      <c r="CG19" s="40">
        <v>29.9517289387713</v>
      </c>
      <c r="CH19" s="40">
        <v>28.729209390249999</v>
      </c>
      <c r="CI19" s="40">
        <v>27.506689841728701</v>
      </c>
      <c r="CJ19" s="40">
        <v>27.506689841728701</v>
      </c>
      <c r="CK19" s="40">
        <v>28.729209390249999</v>
      </c>
      <c r="CL19" s="40">
        <v>29.9517289387713</v>
      </c>
      <c r="CM19" s="40">
        <v>31.174248487292601</v>
      </c>
      <c r="CN19" s="40">
        <v>32.396768035813899</v>
      </c>
      <c r="CO19" s="40">
        <v>33.619287584335098</v>
      </c>
      <c r="CQ19" s="27" t="s">
        <v>1877</v>
      </c>
      <c r="CS19" s="13"/>
      <c r="CT19" t="s">
        <v>1965</v>
      </c>
      <c r="DG19" s="14"/>
      <c r="DI19" s="13"/>
      <c r="DJ19" t="s">
        <v>2405</v>
      </c>
      <c r="DK19" s="28" t="s">
        <v>2745</v>
      </c>
      <c r="DL19" s="25" t="s">
        <v>1778</v>
      </c>
      <c r="DM19" s="28">
        <v>7.5</v>
      </c>
      <c r="DN19" s="25" t="s">
        <v>1778</v>
      </c>
      <c r="DO19" s="28" t="s">
        <v>2746</v>
      </c>
      <c r="DP19" s="25" t="s">
        <v>2010</v>
      </c>
      <c r="DQ19" s="28">
        <v>0.7</v>
      </c>
      <c r="DR19" s="25" t="s">
        <v>1778</v>
      </c>
      <c r="DS19" s="28">
        <v>0.7</v>
      </c>
      <c r="DT19" s="6" t="s">
        <v>953</v>
      </c>
      <c r="DU19" s="40">
        <v>2612.2442942636198</v>
      </c>
      <c r="DV19" s="35" t="s">
        <v>2015</v>
      </c>
      <c r="DW19" s="14"/>
      <c r="DY19" s="13"/>
      <c r="DZ19" t="s">
        <v>2054</v>
      </c>
      <c r="EN19" s="14"/>
      <c r="EP19" s="13"/>
      <c r="EQ19" t="s">
        <v>2082</v>
      </c>
      <c r="FE19" s="14"/>
      <c r="FG19" s="13"/>
      <c r="FH19" t="s">
        <v>2091</v>
      </c>
      <c r="FV19" s="14"/>
      <c r="GD19" s="13"/>
      <c r="GE19" t="s">
        <v>2128</v>
      </c>
      <c r="GR19" s="40">
        <v>79</v>
      </c>
      <c r="GS19" s="27" t="s">
        <v>2147</v>
      </c>
      <c r="GU19" s="13"/>
      <c r="GW19" t="s">
        <v>2249</v>
      </c>
      <c r="HA19" s="15" t="s">
        <v>2272</v>
      </c>
      <c r="HB19" s="71"/>
      <c r="HC19" s="27" t="s">
        <v>2268</v>
      </c>
      <c r="HK19" s="13"/>
      <c r="HL19" t="s">
        <v>2296</v>
      </c>
      <c r="HM19" s="36" t="s">
        <v>1952</v>
      </c>
      <c r="HN19" s="25" t="s">
        <v>1778</v>
      </c>
      <c r="HO19" s="67"/>
      <c r="HP19" s="25" t="s">
        <v>953</v>
      </c>
      <c r="HQ19" s="70"/>
      <c r="HR19" s="37" t="s">
        <v>2348</v>
      </c>
      <c r="HT19" s="13"/>
      <c r="HU19" t="s">
        <v>2296</v>
      </c>
      <c r="HV19" s="36" t="s">
        <v>1952</v>
      </c>
      <c r="HW19" s="25" t="s">
        <v>1778</v>
      </c>
      <c r="HX19" s="8"/>
      <c r="HY19" s="25" t="s">
        <v>953</v>
      </c>
      <c r="HZ19" s="70"/>
      <c r="IA19" s="37" t="s">
        <v>2385</v>
      </c>
    </row>
    <row r="20" spans="2:235" ht="18" x14ac:dyDescent="0.35">
      <c r="N20" s="13"/>
      <c r="O20" t="s">
        <v>991</v>
      </c>
      <c r="Y20" s="6" t="s">
        <v>1041</v>
      </c>
      <c r="Z20" s="14"/>
      <c r="AA20" s="13"/>
      <c r="AQ20" s="14"/>
      <c r="AS20" s="13"/>
      <c r="AT20" t="s">
        <v>1801</v>
      </c>
      <c r="AV20" s="28">
        <v>84.852813740000002</v>
      </c>
      <c r="AW20" s="30" t="s">
        <v>1803</v>
      </c>
      <c r="AX20" s="28">
        <v>7.5</v>
      </c>
      <c r="AY20" s="6" t="s">
        <v>953</v>
      </c>
      <c r="AZ20" s="40">
        <v>77.352813740000002</v>
      </c>
      <c r="BA20" s="25" t="s">
        <v>1778</v>
      </c>
      <c r="BB20" s="28">
        <v>0</v>
      </c>
      <c r="BC20" s="6" t="s">
        <v>953</v>
      </c>
      <c r="BD20" s="40">
        <v>2.07438587662832E-4</v>
      </c>
      <c r="BF20" s="66"/>
      <c r="BH20" s="70"/>
      <c r="BI20" s="27" t="s">
        <v>1810</v>
      </c>
      <c r="BJ20" s="16"/>
      <c r="BK20" s="17"/>
      <c r="BL20" s="17"/>
      <c r="BM20" s="17"/>
      <c r="BN20" s="17"/>
      <c r="BO20" s="17"/>
      <c r="BP20" s="17"/>
      <c r="BQ20" s="17"/>
      <c r="BR20" s="17"/>
      <c r="BS20" s="17"/>
      <c r="BT20" s="17"/>
      <c r="BU20" s="17"/>
      <c r="BV20" s="17"/>
      <c r="BW20" s="17"/>
      <c r="BX20" s="17"/>
      <c r="BY20" s="18"/>
      <c r="CA20" s="13"/>
      <c r="CQ20" s="14"/>
      <c r="CS20" s="13"/>
      <c r="CT20" t="s">
        <v>1972</v>
      </c>
      <c r="CU20" s="40">
        <v>-67.604035563395797</v>
      </c>
      <c r="CV20" s="40">
        <v>-67.604035563395797</v>
      </c>
      <c r="CW20" s="40">
        <v>-67.604035563395797</v>
      </c>
      <c r="CX20" s="40">
        <v>-67.604035563395797</v>
      </c>
      <c r="CY20" s="40">
        <v>-67.604035563395797</v>
      </c>
      <c r="CZ20" s="40">
        <v>-67.604035563395797</v>
      </c>
      <c r="DA20" s="40">
        <v>-67.604035563395797</v>
      </c>
      <c r="DB20" s="40">
        <v>-67.604035563395797</v>
      </c>
      <c r="DC20" s="40">
        <v>-67.604035563395797</v>
      </c>
      <c r="DD20" s="40">
        <v>-67.604035563395797</v>
      </c>
      <c r="DE20" s="40">
        <v>-67.604035563395797</v>
      </c>
      <c r="DF20" s="40">
        <v>-67.604035563395797</v>
      </c>
      <c r="DG20" s="33" t="s">
        <v>1979</v>
      </c>
      <c r="DI20" s="13"/>
      <c r="DJ20" t="s">
        <v>2005</v>
      </c>
      <c r="DK20" s="66"/>
      <c r="DL20" s="25" t="s">
        <v>1778</v>
      </c>
      <c r="DM20" s="66"/>
      <c r="DN20" s="25" t="s">
        <v>1778</v>
      </c>
      <c r="DO20" s="66"/>
      <c r="DP20" s="25" t="s">
        <v>2010</v>
      </c>
      <c r="DQ20" s="66"/>
      <c r="DR20" s="25" t="s">
        <v>1778</v>
      </c>
      <c r="DS20" s="66"/>
      <c r="DT20" s="6" t="s">
        <v>953</v>
      </c>
      <c r="DU20" s="70"/>
      <c r="DV20" s="35" t="s">
        <v>2016</v>
      </c>
      <c r="DW20" s="14"/>
      <c r="DY20" s="13"/>
      <c r="DZ20" s="2" t="s">
        <v>2029</v>
      </c>
      <c r="EN20" s="14"/>
      <c r="EP20" s="13"/>
      <c r="EQ20" t="s">
        <v>2068</v>
      </c>
      <c r="ER20" s="40">
        <v>179.42039056154101</v>
      </c>
      <c r="ES20" s="40">
        <v>131.61292783827099</v>
      </c>
      <c r="ET20" s="40">
        <v>106.106884623271</v>
      </c>
      <c r="EU20" s="40">
        <v>63.608213373176902</v>
      </c>
      <c r="EV20" s="40">
        <v>31.713213423448099</v>
      </c>
      <c r="EW20" s="70"/>
      <c r="EX20" s="70"/>
      <c r="EY20" s="70"/>
      <c r="EZ20" s="70"/>
      <c r="FA20" s="40">
        <v>53.892652431469998</v>
      </c>
      <c r="FB20" s="40">
        <v>119.480320680277</v>
      </c>
      <c r="FC20" s="40">
        <v>190.148278792301</v>
      </c>
      <c r="FE20" s="14"/>
      <c r="FG20" s="13"/>
      <c r="FH20" t="s">
        <v>2108</v>
      </c>
      <c r="FI20" s="66"/>
      <c r="FJ20" s="66"/>
      <c r="FK20" s="66"/>
      <c r="FL20" s="66"/>
      <c r="FM20" s="66"/>
      <c r="FN20" s="69"/>
      <c r="FO20" s="69"/>
      <c r="FP20" s="69"/>
      <c r="FQ20" s="66"/>
      <c r="FR20" s="66"/>
      <c r="FS20" s="66"/>
      <c r="FT20" s="66"/>
      <c r="FV20" s="27" t="s">
        <v>2100</v>
      </c>
      <c r="GD20" s="13"/>
      <c r="GE20" s="2" t="s">
        <v>2129</v>
      </c>
      <c r="GS20" s="14"/>
      <c r="GU20" s="13"/>
      <c r="GW20" t="s">
        <v>2250</v>
      </c>
      <c r="GX20" s="6" t="s">
        <v>2273</v>
      </c>
      <c r="GY20" s="25" t="s">
        <v>1778</v>
      </c>
      <c r="GZ20" s="69"/>
      <c r="HA20" s="25" t="s">
        <v>2254</v>
      </c>
      <c r="HB20" s="71"/>
      <c r="HC20" s="27" t="s">
        <v>2269</v>
      </c>
      <c r="HK20" s="13"/>
      <c r="HR20" s="14"/>
      <c r="HT20" s="13"/>
      <c r="IA20" s="14"/>
    </row>
    <row r="21" spans="2:235" ht="18" x14ac:dyDescent="0.35">
      <c r="N21" s="13"/>
      <c r="O21" s="23" t="s">
        <v>1001</v>
      </c>
      <c r="S21" s="28">
        <v>0</v>
      </c>
      <c r="U21" t="s">
        <v>993</v>
      </c>
      <c r="W21" s="26" t="s">
        <v>992</v>
      </c>
      <c r="Y21" s="39">
        <v>0</v>
      </c>
      <c r="Z21" s="27" t="s">
        <v>994</v>
      </c>
      <c r="AA21" s="13"/>
      <c r="AC21" t="s">
        <v>1062</v>
      </c>
      <c r="AP21" s="69"/>
      <c r="AQ21" s="20" t="s">
        <v>1063</v>
      </c>
      <c r="AS21" s="13"/>
      <c r="AT21" t="s">
        <v>132</v>
      </c>
      <c r="AV21" s="28">
        <v>50</v>
      </c>
      <c r="AW21" s="30" t="s">
        <v>1803</v>
      </c>
      <c r="AX21" s="66"/>
      <c r="AY21" s="6" t="s">
        <v>953</v>
      </c>
      <c r="AZ21" s="40">
        <v>50</v>
      </c>
      <c r="BA21" s="25" t="s">
        <v>1778</v>
      </c>
      <c r="BB21" s="28">
        <v>0</v>
      </c>
      <c r="BC21" s="6" t="s">
        <v>953</v>
      </c>
      <c r="BD21" s="40">
        <v>1.34086E-4</v>
      </c>
      <c r="BF21" s="66"/>
      <c r="BH21" s="70"/>
      <c r="BI21" s="27" t="s">
        <v>1811</v>
      </c>
      <c r="CA21" s="13"/>
      <c r="CB21" t="s">
        <v>1878</v>
      </c>
      <c r="CP21" s="40">
        <v>89.648473306321407</v>
      </c>
      <c r="CQ21" s="27" t="s">
        <v>1879</v>
      </c>
      <c r="CS21" s="13"/>
      <c r="CT21" t="s">
        <v>1966</v>
      </c>
      <c r="DG21" s="14"/>
      <c r="DI21" s="13"/>
      <c r="DJ21" t="s">
        <v>2006</v>
      </c>
      <c r="DK21" s="66"/>
      <c r="DL21" s="25" t="s">
        <v>1778</v>
      </c>
      <c r="DM21" s="66"/>
      <c r="DN21" s="25" t="s">
        <v>1778</v>
      </c>
      <c r="DO21" s="66"/>
      <c r="DP21" s="25" t="s">
        <v>2010</v>
      </c>
      <c r="DQ21" s="66"/>
      <c r="DR21" s="25" t="s">
        <v>1778</v>
      </c>
      <c r="DS21" s="66"/>
      <c r="DT21" s="6" t="s">
        <v>953</v>
      </c>
      <c r="DU21" s="70"/>
      <c r="DV21" s="35" t="s">
        <v>2017</v>
      </c>
      <c r="DW21" s="14"/>
      <c r="DY21" s="13"/>
      <c r="DZ21" t="s">
        <v>2045</v>
      </c>
      <c r="EA21" s="40">
        <v>18.912283970169501</v>
      </c>
      <c r="EB21" s="40">
        <v>19.165515400004502</v>
      </c>
      <c r="EC21" s="40">
        <v>19.450966734825599</v>
      </c>
      <c r="ED21" s="40">
        <v>19.7297719985878</v>
      </c>
      <c r="EE21" s="40">
        <v>19.9520412699509</v>
      </c>
      <c r="EF21" s="40">
        <v>20.081280968344601</v>
      </c>
      <c r="EG21" s="40">
        <v>20.1236393048897</v>
      </c>
      <c r="EH21" s="40">
        <v>20.120752255456001</v>
      </c>
      <c r="EI21" s="40">
        <v>20.059234837477199</v>
      </c>
      <c r="EJ21" s="40">
        <v>19.807918554515201</v>
      </c>
      <c r="EK21" s="40">
        <v>19.3203765094933</v>
      </c>
      <c r="EL21" s="40">
        <v>18.829991928605601</v>
      </c>
      <c r="EN21" s="27" t="s">
        <v>2037</v>
      </c>
      <c r="EP21" s="13"/>
      <c r="FC21" s="15" t="s">
        <v>2086</v>
      </c>
      <c r="FD21" s="40">
        <v>875.98288172375806</v>
      </c>
      <c r="FE21" s="27" t="s">
        <v>2074</v>
      </c>
      <c r="FG21" s="13"/>
      <c r="FV21" s="14"/>
      <c r="GD21" s="13"/>
      <c r="GE21" s="2" t="s">
        <v>2130</v>
      </c>
      <c r="GS21" s="14"/>
      <c r="GU21" s="13"/>
      <c r="GW21" t="s">
        <v>2262</v>
      </c>
      <c r="GX21" s="6" t="s">
        <v>2274</v>
      </c>
      <c r="GY21" s="25" t="s">
        <v>1778</v>
      </c>
      <c r="GZ21" s="69"/>
      <c r="HA21" s="25" t="s">
        <v>2254</v>
      </c>
      <c r="HB21" s="71"/>
      <c r="HC21" s="27" t="s">
        <v>2270</v>
      </c>
      <c r="HK21" s="13"/>
      <c r="HL21" t="s">
        <v>2343</v>
      </c>
      <c r="HO21" s="15" t="s">
        <v>2350</v>
      </c>
      <c r="HP21" s="25" t="s">
        <v>953</v>
      </c>
      <c r="HQ21" s="40">
        <v>739.50190980208004</v>
      </c>
      <c r="HR21" s="37" t="s">
        <v>2349</v>
      </c>
      <c r="HT21" s="13"/>
      <c r="HU21" t="s">
        <v>2343</v>
      </c>
      <c r="HX21" s="15" t="s">
        <v>2386</v>
      </c>
      <c r="HY21" s="25" t="s">
        <v>953</v>
      </c>
      <c r="HZ21" s="40">
        <v>3979.2245622683299</v>
      </c>
      <c r="IA21" s="37" t="s">
        <v>2387</v>
      </c>
    </row>
    <row r="22" spans="2:235" ht="18" x14ac:dyDescent="0.35">
      <c r="N22" s="13"/>
      <c r="Z22" s="14"/>
      <c r="AA22" s="13"/>
      <c r="AC22" t="s">
        <v>1069</v>
      </c>
      <c r="AP22" s="69"/>
      <c r="AQ22" s="20" t="s">
        <v>1065</v>
      </c>
      <c r="AS22" s="13"/>
      <c r="AT22" s="1" t="s">
        <v>1802</v>
      </c>
      <c r="AU22" s="1"/>
      <c r="AZ22" s="40">
        <v>184.85281373999999</v>
      </c>
      <c r="BI22" s="27" t="s">
        <v>1812</v>
      </c>
      <c r="CA22" s="13"/>
      <c r="CQ22" s="14"/>
      <c r="CS22" s="13"/>
      <c r="CT22" t="s">
        <v>1973</v>
      </c>
      <c r="CU22" s="40">
        <v>85.570487090926093</v>
      </c>
      <c r="CV22" s="40">
        <v>83.357699463485105</v>
      </c>
      <c r="CW22" s="40">
        <v>79.480791521414304</v>
      </c>
      <c r="CX22" s="40">
        <v>71.458422669375395</v>
      </c>
      <c r="CY22" s="40">
        <v>66.373030569030306</v>
      </c>
      <c r="CZ22" s="40">
        <v>61.060385083632603</v>
      </c>
      <c r="DA22" s="40">
        <v>58.016687839022403</v>
      </c>
      <c r="DB22" s="40">
        <v>60.910523355222701</v>
      </c>
      <c r="DC22" s="40">
        <v>64.235588142830494</v>
      </c>
      <c r="DD22" s="40">
        <v>70.092874581781999</v>
      </c>
      <c r="DE22" s="40">
        <v>77.825639858996396</v>
      </c>
      <c r="DF22" s="40">
        <v>84.599869496020204</v>
      </c>
      <c r="DG22" s="33" t="s">
        <v>1980</v>
      </c>
      <c r="DI22" s="13"/>
      <c r="DJ22" t="s">
        <v>2007</v>
      </c>
      <c r="DK22" s="66"/>
      <c r="DL22" s="25" t="s">
        <v>1778</v>
      </c>
      <c r="DM22" s="66"/>
      <c r="DN22" s="25" t="s">
        <v>1778</v>
      </c>
      <c r="DO22" s="66"/>
      <c r="DP22" s="25" t="s">
        <v>2010</v>
      </c>
      <c r="DQ22" s="66"/>
      <c r="DR22" s="25" t="s">
        <v>1778</v>
      </c>
      <c r="DS22" s="66"/>
      <c r="DT22" s="6" t="s">
        <v>953</v>
      </c>
      <c r="DU22" s="70"/>
      <c r="DV22" s="35" t="s">
        <v>2018</v>
      </c>
      <c r="DW22" s="14"/>
      <c r="DY22" s="13"/>
      <c r="DZ22" t="s">
        <v>2030</v>
      </c>
      <c r="EL22" s="15" t="s">
        <v>2048</v>
      </c>
      <c r="EM22" s="40">
        <v>0.3</v>
      </c>
      <c r="EN22" s="27" t="s">
        <v>2038</v>
      </c>
      <c r="EP22" s="13"/>
      <c r="EQ22" t="s">
        <v>2059</v>
      </c>
      <c r="FE22" s="14"/>
      <c r="FG22" s="13"/>
      <c r="FH22" t="s">
        <v>2115</v>
      </c>
      <c r="FV22" s="14"/>
      <c r="GD22" s="13"/>
      <c r="GS22" s="14"/>
      <c r="GU22" s="13"/>
      <c r="GV22" t="s">
        <v>2276</v>
      </c>
      <c r="GX22" s="36" t="s">
        <v>2156</v>
      </c>
      <c r="GY22" s="25" t="s">
        <v>1778</v>
      </c>
      <c r="GZ22" s="69"/>
      <c r="HA22" s="25" t="s">
        <v>2254</v>
      </c>
      <c r="HB22" s="71"/>
      <c r="HC22" s="27" t="s">
        <v>2271</v>
      </c>
      <c r="HK22" s="13"/>
      <c r="HR22" s="14"/>
      <c r="HT22" s="13"/>
      <c r="IA22" s="14"/>
    </row>
    <row r="23" spans="2:235" ht="18" x14ac:dyDescent="0.35">
      <c r="N23" s="13"/>
      <c r="O23" s="2" t="s">
        <v>1000</v>
      </c>
      <c r="Z23" s="14"/>
      <c r="AA23" s="13"/>
      <c r="AC23" t="s">
        <v>1066</v>
      </c>
      <c r="AP23" s="69"/>
      <c r="AQ23" s="20" t="s">
        <v>1067</v>
      </c>
      <c r="AS23" s="13"/>
      <c r="AT23" t="s">
        <v>1814</v>
      </c>
      <c r="AZ23" s="70"/>
      <c r="BA23" s="25" t="s">
        <v>1778</v>
      </c>
      <c r="BB23" s="66"/>
      <c r="BC23" s="6" t="s">
        <v>953</v>
      </c>
      <c r="BD23" s="70"/>
      <c r="BF23" s="69"/>
      <c r="BH23" s="70"/>
      <c r="BI23" s="27" t="s">
        <v>1821</v>
      </c>
      <c r="CA23" s="13"/>
      <c r="CB23" t="s">
        <v>1880</v>
      </c>
      <c r="CQ23" s="14"/>
      <c r="CS23" s="13"/>
      <c r="CT23" t="s">
        <v>1982</v>
      </c>
      <c r="DG23" s="14"/>
      <c r="DI23" s="13"/>
      <c r="DJ23" t="s">
        <v>2008</v>
      </c>
      <c r="DK23" s="6">
        <v>1</v>
      </c>
      <c r="DL23" s="25" t="s">
        <v>1778</v>
      </c>
      <c r="DM23" s="66"/>
      <c r="DN23" s="25" t="s">
        <v>1778</v>
      </c>
      <c r="DO23" s="66"/>
      <c r="DP23" s="25" t="s">
        <v>2010</v>
      </c>
      <c r="DQ23" s="66"/>
      <c r="DR23" s="25" t="s">
        <v>1778</v>
      </c>
      <c r="DS23" s="66"/>
      <c r="DT23" s="6" t="s">
        <v>953</v>
      </c>
      <c r="DU23" s="70"/>
      <c r="DV23" s="35" t="s">
        <v>2019</v>
      </c>
      <c r="DW23" s="14"/>
      <c r="DY23" s="13"/>
      <c r="DZ23" t="s">
        <v>2055</v>
      </c>
      <c r="EN23" s="14"/>
      <c r="EP23" s="13"/>
      <c r="EQ23" t="s">
        <v>2067</v>
      </c>
      <c r="ER23" s="40">
        <v>0</v>
      </c>
      <c r="ES23" s="40">
        <v>0</v>
      </c>
      <c r="ET23" s="40">
        <v>0</v>
      </c>
      <c r="EU23" s="40">
        <v>0</v>
      </c>
      <c r="EV23" s="40">
        <v>0</v>
      </c>
      <c r="EW23" s="70"/>
      <c r="EX23" s="70"/>
      <c r="EY23" s="70"/>
      <c r="EZ23" s="70"/>
      <c r="FA23" s="40">
        <v>0</v>
      </c>
      <c r="FB23" s="40">
        <v>0</v>
      </c>
      <c r="FC23" s="40">
        <v>0</v>
      </c>
      <c r="FE23" s="14"/>
      <c r="FG23" s="13"/>
      <c r="FH23" t="s">
        <v>2109</v>
      </c>
      <c r="FI23" s="66"/>
      <c r="FJ23" s="66"/>
      <c r="FK23" s="66"/>
      <c r="FL23" s="66"/>
      <c r="FM23" s="66"/>
      <c r="FN23" s="69"/>
      <c r="FO23" s="69"/>
      <c r="FP23" s="69"/>
      <c r="FQ23" s="66"/>
      <c r="FR23" s="66"/>
      <c r="FS23" s="66"/>
      <c r="FT23" s="66"/>
      <c r="FV23" s="14"/>
      <c r="GD23" s="13"/>
      <c r="GE23" s="2" t="s">
        <v>2151</v>
      </c>
      <c r="GS23" s="14"/>
      <c r="GU23" s="13"/>
      <c r="HC23" s="14"/>
      <c r="HK23" s="13"/>
      <c r="HL23" t="s">
        <v>2184</v>
      </c>
      <c r="HM23" s="36" t="s">
        <v>2188</v>
      </c>
      <c r="HN23" s="25" t="s">
        <v>1778</v>
      </c>
      <c r="HO23" s="67"/>
      <c r="HP23" s="25" t="s">
        <v>953</v>
      </c>
      <c r="HQ23" s="70"/>
      <c r="HR23" s="37" t="s">
        <v>2362</v>
      </c>
      <c r="HT23" s="13"/>
      <c r="HU23" t="s">
        <v>2184</v>
      </c>
      <c r="HV23" s="36" t="s">
        <v>2188</v>
      </c>
      <c r="HW23" s="25" t="s">
        <v>1778</v>
      </c>
      <c r="HX23" s="8"/>
      <c r="HY23" s="25" t="s">
        <v>953</v>
      </c>
      <c r="HZ23" s="70"/>
      <c r="IA23" s="37" t="s">
        <v>2388</v>
      </c>
    </row>
    <row r="24" spans="2:235" ht="18" x14ac:dyDescent="0.35">
      <c r="N24" s="13"/>
      <c r="P24" t="s">
        <v>997</v>
      </c>
      <c r="Y24" s="66"/>
      <c r="Z24" s="27" t="s">
        <v>1003</v>
      </c>
      <c r="AA24" s="13"/>
      <c r="AQ24" s="14"/>
      <c r="AS24" s="13"/>
      <c r="AT24" t="s">
        <v>1815</v>
      </c>
      <c r="AZ24" s="70"/>
      <c r="BF24" s="69"/>
      <c r="BH24" s="70"/>
      <c r="BI24" s="27" t="s">
        <v>1822</v>
      </c>
      <c r="CA24" s="13"/>
      <c r="CB24" t="s">
        <v>1882</v>
      </c>
      <c r="CD24" s="40">
        <v>97.346840194113099</v>
      </c>
      <c r="CE24" s="40">
        <v>95.17787683873</v>
      </c>
      <c r="CF24" s="40">
        <v>92.622566260274198</v>
      </c>
      <c r="CG24" s="40">
        <v>88.942621634514595</v>
      </c>
      <c r="CH24" s="40">
        <v>85.880007836875905</v>
      </c>
      <c r="CI24" s="40">
        <v>82.617117218504603</v>
      </c>
      <c r="CJ24" s="40">
        <v>81.515012398481602</v>
      </c>
      <c r="CK24" s="40">
        <v>84.061000077795498</v>
      </c>
      <c r="CL24" s="40">
        <v>86.724534039661094</v>
      </c>
      <c r="CM24" s="40">
        <v>90.130320307071202</v>
      </c>
      <c r="CN24" s="40">
        <v>93.860873210827805</v>
      </c>
      <c r="CO24" s="40">
        <v>97.131398839786598</v>
      </c>
      <c r="CQ24" s="27" t="s">
        <v>1881</v>
      </c>
      <c r="CS24" s="13"/>
      <c r="CT24" t="s">
        <v>1974</v>
      </c>
      <c r="CU24" s="40">
        <v>430.27379568211802</v>
      </c>
      <c r="CV24" s="40">
        <v>426.16881659191802</v>
      </c>
      <c r="CW24" s="40">
        <v>410.35568411718299</v>
      </c>
      <c r="CX24" s="40">
        <v>383.55135938677898</v>
      </c>
      <c r="CY24" s="40">
        <v>357.870889972253</v>
      </c>
      <c r="CZ24" s="40">
        <v>328.668480071251</v>
      </c>
      <c r="DA24" s="40">
        <v>316.96593004512403</v>
      </c>
      <c r="DB24" s="40">
        <v>321.75195702408303</v>
      </c>
      <c r="DC24" s="40">
        <v>337.01324634435503</v>
      </c>
      <c r="DD24" s="40">
        <v>368.65248866167099</v>
      </c>
      <c r="DE24" s="40">
        <v>396.98033125306603</v>
      </c>
      <c r="DF24" s="40">
        <v>420.64432530569599</v>
      </c>
      <c r="DG24" s="33" t="s">
        <v>1981</v>
      </c>
      <c r="DI24" s="13"/>
      <c r="DJ24" t="s">
        <v>2009</v>
      </c>
      <c r="DK24" s="6">
        <v>1</v>
      </c>
      <c r="DL24" s="25" t="s">
        <v>1778</v>
      </c>
      <c r="DM24" s="66"/>
      <c r="DN24" s="25" t="s">
        <v>1778</v>
      </c>
      <c r="DO24" s="66"/>
      <c r="DP24" s="25" t="s">
        <v>2010</v>
      </c>
      <c r="DQ24" s="66"/>
      <c r="DR24" s="25" t="s">
        <v>1778</v>
      </c>
      <c r="DS24" s="66"/>
      <c r="DT24" s="6" t="s">
        <v>953</v>
      </c>
      <c r="DU24" s="70"/>
      <c r="DV24" s="35" t="s">
        <v>2023</v>
      </c>
      <c r="DW24" s="14"/>
      <c r="DY24" s="13"/>
      <c r="DZ24" t="s">
        <v>2046</v>
      </c>
      <c r="EA24" s="40">
        <v>19.128392767746799</v>
      </c>
      <c r="EB24" s="40">
        <v>19.385810269241802</v>
      </c>
      <c r="EC24" s="40">
        <v>19.6764113942641</v>
      </c>
      <c r="ED24" s="40">
        <v>19.9618470012058</v>
      </c>
      <c r="EE24" s="40">
        <v>20.192500771932799</v>
      </c>
      <c r="EF24" s="40">
        <v>20.330398633782501</v>
      </c>
      <c r="EG24" s="40">
        <v>20.3785252343922</v>
      </c>
      <c r="EH24" s="40">
        <v>20.375042631218101</v>
      </c>
      <c r="EI24" s="40">
        <v>20.306043838104902</v>
      </c>
      <c r="EJ24" s="40">
        <v>20.0407333572734</v>
      </c>
      <c r="EK24" s="40">
        <v>19.540935288307999</v>
      </c>
      <c r="EL24" s="40">
        <v>19.044875646397301</v>
      </c>
      <c r="EN24" s="27" t="s">
        <v>2039</v>
      </c>
      <c r="EP24" s="13"/>
      <c r="FC24" s="15" t="s">
        <v>2087</v>
      </c>
      <c r="FD24" s="40">
        <v>0</v>
      </c>
      <c r="FE24" s="27" t="s">
        <v>2075</v>
      </c>
      <c r="FG24" s="13"/>
      <c r="FT24" s="15" t="s">
        <v>2116</v>
      </c>
      <c r="FU24" s="69"/>
      <c r="FV24" s="27" t="s">
        <v>2101</v>
      </c>
      <c r="GD24" s="13"/>
      <c r="GE24" t="s">
        <v>2131</v>
      </c>
      <c r="GR24" s="70"/>
      <c r="GS24" s="27" t="s">
        <v>2148</v>
      </c>
      <c r="GU24" s="13"/>
      <c r="GV24" t="s">
        <v>2275</v>
      </c>
      <c r="HC24" s="14"/>
      <c r="HK24" s="13"/>
      <c r="HR24" s="14"/>
      <c r="HT24" s="13"/>
      <c r="IA24" s="14"/>
    </row>
    <row r="25" spans="2:235" ht="18" x14ac:dyDescent="0.35">
      <c r="N25" s="13"/>
      <c r="P25" t="s">
        <v>998</v>
      </c>
      <c r="Y25" s="66"/>
      <c r="Z25" s="27" t="s">
        <v>1004</v>
      </c>
      <c r="AA25" s="13"/>
      <c r="AC25" t="s">
        <v>1070</v>
      </c>
      <c r="AQ25" s="14"/>
      <c r="AS25" s="13"/>
      <c r="AT25" t="s">
        <v>1816</v>
      </c>
      <c r="AZ25" s="70"/>
      <c r="BF25" s="69"/>
      <c r="BH25" s="70"/>
      <c r="BI25" s="27" t="s">
        <v>1823</v>
      </c>
      <c r="CA25" s="13"/>
      <c r="CQ25" s="14"/>
      <c r="CS25" s="16"/>
      <c r="CT25" s="17"/>
      <c r="CU25" s="17"/>
      <c r="CV25" s="17"/>
      <c r="CW25" s="17"/>
      <c r="CX25" s="17"/>
      <c r="CY25" s="17"/>
      <c r="CZ25" s="17"/>
      <c r="DA25" s="17"/>
      <c r="DB25" s="17"/>
      <c r="DC25" s="17"/>
      <c r="DD25" s="17"/>
      <c r="DE25" s="17"/>
      <c r="DF25" s="17"/>
      <c r="DG25" s="18"/>
      <c r="DI25" s="13"/>
      <c r="DW25" s="14"/>
      <c r="DY25" s="13"/>
      <c r="DZ25" t="s">
        <v>2031</v>
      </c>
      <c r="EN25" s="14"/>
      <c r="EP25" s="13"/>
      <c r="EQ25" t="s">
        <v>2083</v>
      </c>
      <c r="FE25" s="14"/>
      <c r="FG25" s="13"/>
      <c r="FV25" s="14"/>
      <c r="GD25" s="13"/>
      <c r="GE25" s="2" t="s">
        <v>2129</v>
      </c>
      <c r="GS25" s="14"/>
      <c r="GU25" s="13"/>
      <c r="GW25" t="s">
        <v>2248</v>
      </c>
      <c r="HA25" s="15"/>
      <c r="HB25" s="71"/>
      <c r="HC25" s="27" t="s">
        <v>2278</v>
      </c>
      <c r="HK25" s="13"/>
      <c r="HL25" t="s">
        <v>2351</v>
      </c>
      <c r="HM25" s="36" t="s">
        <v>2215</v>
      </c>
      <c r="HN25" s="25" t="s">
        <v>1778</v>
      </c>
      <c r="HO25" s="28" t="s">
        <v>2720</v>
      </c>
      <c r="HP25" s="25" t="s">
        <v>953</v>
      </c>
      <c r="HQ25" s="40">
        <v>15.9519178082191</v>
      </c>
      <c r="HR25" s="37" t="s">
        <v>2363</v>
      </c>
      <c r="HT25" s="13"/>
      <c r="HU25" t="s">
        <v>2351</v>
      </c>
      <c r="HV25" s="36" t="s">
        <v>2215</v>
      </c>
      <c r="HW25" s="25" t="s">
        <v>1778</v>
      </c>
      <c r="HX25" s="8"/>
      <c r="HY25" s="25" t="s">
        <v>953</v>
      </c>
      <c r="HZ25" s="40">
        <v>173.97200000000001</v>
      </c>
      <c r="IA25" s="37" t="s">
        <v>2389</v>
      </c>
    </row>
    <row r="26" spans="2:235" ht="18" x14ac:dyDescent="0.35">
      <c r="N26" s="13"/>
      <c r="P26" t="s">
        <v>999</v>
      </c>
      <c r="Y26" s="66"/>
      <c r="Z26" s="27" t="s">
        <v>1005</v>
      </c>
      <c r="AA26" s="13"/>
      <c r="AB26" t="s">
        <v>1068</v>
      </c>
      <c r="AD26" s="68"/>
      <c r="AE26" s="68"/>
      <c r="AF26" s="68"/>
      <c r="AG26" s="68"/>
      <c r="AH26" s="68"/>
      <c r="AI26" s="68"/>
      <c r="AJ26" s="68"/>
      <c r="AK26" s="68"/>
      <c r="AL26" s="68"/>
      <c r="AM26" s="68"/>
      <c r="AN26" s="68"/>
      <c r="AO26" s="68"/>
      <c r="AQ26" s="20" t="s">
        <v>1064</v>
      </c>
      <c r="AS26" s="13"/>
      <c r="AT26" t="s">
        <v>1817</v>
      </c>
      <c r="AZ26" s="70"/>
      <c r="BF26" s="66"/>
      <c r="BH26" s="70"/>
      <c r="BI26" s="27" t="s">
        <v>1824</v>
      </c>
      <c r="CA26" s="13"/>
      <c r="CB26" t="s">
        <v>1883</v>
      </c>
      <c r="CQ26" s="14"/>
      <c r="DI26" s="13"/>
      <c r="DJ26" t="s">
        <v>2026</v>
      </c>
      <c r="DW26" s="14"/>
      <c r="DY26" s="13"/>
      <c r="DZ26" t="s">
        <v>2032</v>
      </c>
      <c r="EN26" s="14"/>
      <c r="EP26" s="13"/>
      <c r="EQ26" t="s">
        <v>2069</v>
      </c>
      <c r="ER26" s="40">
        <v>179.42039056154101</v>
      </c>
      <c r="ES26" s="40">
        <v>131.61292783827099</v>
      </c>
      <c r="ET26" s="40">
        <v>106.106884623271</v>
      </c>
      <c r="EU26" s="40">
        <v>63.608213373176902</v>
      </c>
      <c r="EV26" s="40">
        <v>31.713213423448099</v>
      </c>
      <c r="EW26" s="70"/>
      <c r="EX26" s="70"/>
      <c r="EY26" s="70"/>
      <c r="EZ26" s="70"/>
      <c r="FA26" s="40">
        <v>53.892652431469998</v>
      </c>
      <c r="FB26" s="40">
        <v>119.480320680277</v>
      </c>
      <c r="FC26" s="40">
        <v>190.148278792301</v>
      </c>
      <c r="FE26" s="14"/>
      <c r="FG26" s="13"/>
      <c r="FH26" t="s">
        <v>2095</v>
      </c>
      <c r="FT26" s="15" t="s">
        <v>2094</v>
      </c>
      <c r="FU26" s="69"/>
      <c r="FV26" s="27" t="s">
        <v>2102</v>
      </c>
      <c r="GD26" s="13"/>
      <c r="GE26" s="2" t="s">
        <v>2130</v>
      </c>
      <c r="GS26" s="14"/>
      <c r="GU26" s="13"/>
      <c r="GW26" t="s">
        <v>2249</v>
      </c>
      <c r="HA26" s="15" t="s">
        <v>2282</v>
      </c>
      <c r="HB26" s="71"/>
      <c r="HC26" s="27" t="s">
        <v>2267</v>
      </c>
      <c r="HK26" s="13"/>
      <c r="HR26" s="14"/>
      <c r="HT26" s="13"/>
      <c r="IA26" s="14"/>
    </row>
    <row r="27" spans="2:235" ht="18" x14ac:dyDescent="0.35">
      <c r="N27" s="13"/>
      <c r="O27" s="2" t="s">
        <v>1006</v>
      </c>
      <c r="Z27" s="14"/>
      <c r="AA27" s="13"/>
      <c r="AC27" t="s">
        <v>1767</v>
      </c>
      <c r="AQ27" s="14"/>
      <c r="AS27" s="13"/>
      <c r="AT27" t="s">
        <v>1819</v>
      </c>
      <c r="AZ27" s="70"/>
      <c r="BF27" s="66"/>
      <c r="BH27" s="70"/>
      <c r="BI27" s="27" t="s">
        <v>1825</v>
      </c>
      <c r="CA27" s="13"/>
      <c r="CB27" t="s">
        <v>1884</v>
      </c>
      <c r="CD27" s="40">
        <v>154.173598973205</v>
      </c>
      <c r="CE27" s="40">
        <v>135.53202757999301</v>
      </c>
      <c r="CF27" s="40">
        <v>142.357436724297</v>
      </c>
      <c r="CG27" s="40">
        <v>121.758001886568</v>
      </c>
      <c r="CH27" s="40">
        <v>115.61099859438499</v>
      </c>
      <c r="CI27" s="40">
        <v>101.587384283826</v>
      </c>
      <c r="CJ27" s="40">
        <v>98.585342861555603</v>
      </c>
      <c r="CK27" s="40">
        <v>104.08507750521601</v>
      </c>
      <c r="CL27" s="40">
        <v>106.94002292430601</v>
      </c>
      <c r="CM27" s="40">
        <v>122.305993425892</v>
      </c>
      <c r="CN27" s="40">
        <v>133.72202171557899</v>
      </c>
      <c r="CO27" s="40">
        <v>152.08429716171901</v>
      </c>
      <c r="CQ27" s="14"/>
      <c r="DI27" s="13"/>
      <c r="DJ27" t="s">
        <v>2024</v>
      </c>
      <c r="DK27" s="40">
        <v>116.34545934915501</v>
      </c>
      <c r="DL27" s="40">
        <v>190.54388180208599</v>
      </c>
      <c r="DM27" s="40">
        <v>242.719106099534</v>
      </c>
      <c r="DN27" s="40">
        <v>274.32527946007502</v>
      </c>
      <c r="DO27" s="40">
        <v>285.86391196691301</v>
      </c>
      <c r="DP27" s="40">
        <v>275.10511968127099</v>
      </c>
      <c r="DQ27" s="40">
        <v>268.79444555172302</v>
      </c>
      <c r="DR27" s="40">
        <v>261.03664347374098</v>
      </c>
      <c r="DS27" s="40">
        <v>253.548761884882</v>
      </c>
      <c r="DT27" s="40">
        <v>205.519453924852</v>
      </c>
      <c r="DU27" s="40">
        <v>137.909045704715</v>
      </c>
      <c r="DV27" s="40">
        <v>100.533185364677</v>
      </c>
      <c r="DW27" s="27" t="s">
        <v>2020</v>
      </c>
      <c r="DY27" s="13"/>
      <c r="DZ27" t="s">
        <v>2047</v>
      </c>
      <c r="EA27" s="40">
        <v>19.128392767746799</v>
      </c>
      <c r="EB27" s="40">
        <v>19.385810269241802</v>
      </c>
      <c r="EC27" s="40">
        <v>19.6764113942641</v>
      </c>
      <c r="ED27" s="40">
        <v>19.9618470012058</v>
      </c>
      <c r="EE27" s="40">
        <v>20.192500771932799</v>
      </c>
      <c r="EF27" s="40">
        <v>20.330398633782501</v>
      </c>
      <c r="EG27" s="40">
        <v>20.3785252343922</v>
      </c>
      <c r="EH27" s="40">
        <v>20.375042631218101</v>
      </c>
      <c r="EI27" s="40">
        <v>20.306043838104902</v>
      </c>
      <c r="EJ27" s="40">
        <v>20.0407333572734</v>
      </c>
      <c r="EK27" s="40">
        <v>19.540935288307999</v>
      </c>
      <c r="EL27" s="40">
        <v>19.044875646397301</v>
      </c>
      <c r="EN27" s="27" t="s">
        <v>2040</v>
      </c>
      <c r="EP27" s="13"/>
      <c r="FC27" s="15" t="s">
        <v>2088</v>
      </c>
      <c r="FD27" s="40">
        <v>875.98288172375806</v>
      </c>
      <c r="FE27" s="27" t="s">
        <v>2076</v>
      </c>
      <c r="FG27" s="13"/>
      <c r="FV27" s="14"/>
      <c r="GD27" s="13"/>
      <c r="GS27" s="14"/>
      <c r="GU27" s="13"/>
      <c r="GW27" t="s">
        <v>2250</v>
      </c>
      <c r="GX27" s="6" t="s">
        <v>2283</v>
      </c>
      <c r="GY27" s="25" t="s">
        <v>1778</v>
      </c>
      <c r="GZ27" s="69"/>
      <c r="HA27" s="25" t="s">
        <v>2254</v>
      </c>
      <c r="HB27" s="71"/>
      <c r="HC27" s="27" t="s">
        <v>2279</v>
      </c>
      <c r="HK27" s="13"/>
      <c r="HL27" t="s">
        <v>2352</v>
      </c>
      <c r="HM27" s="36" t="s">
        <v>2216</v>
      </c>
      <c r="HN27" s="25" t="s">
        <v>1778</v>
      </c>
      <c r="HO27" s="28" t="s">
        <v>2720</v>
      </c>
      <c r="HP27" s="25" t="s">
        <v>953</v>
      </c>
      <c r="HQ27" s="40">
        <v>38.048809011645197</v>
      </c>
      <c r="HR27" s="37" t="s">
        <v>2364</v>
      </c>
      <c r="HT27" s="13"/>
      <c r="HU27" t="s">
        <v>2352</v>
      </c>
      <c r="HV27" s="36" t="s">
        <v>2216</v>
      </c>
      <c r="HW27" s="25" t="s">
        <v>1778</v>
      </c>
      <c r="HX27" s="8"/>
      <c r="HY27" s="25" t="s">
        <v>953</v>
      </c>
      <c r="HZ27" s="40">
        <v>404.352304630802</v>
      </c>
      <c r="IA27" s="37" t="s">
        <v>2390</v>
      </c>
    </row>
    <row r="28" spans="2:235" ht="18" x14ac:dyDescent="0.35">
      <c r="N28" s="13"/>
      <c r="O28" s="2" t="s">
        <v>1007</v>
      </c>
      <c r="Z28" s="14"/>
      <c r="AA28" s="13"/>
      <c r="AB28" t="s">
        <v>1076</v>
      </c>
      <c r="AD28" s="68"/>
      <c r="AE28" s="68"/>
      <c r="AF28" s="68"/>
      <c r="AG28" s="68"/>
      <c r="AH28" s="68"/>
      <c r="AI28" s="68"/>
      <c r="AJ28" s="68"/>
      <c r="AK28" s="68"/>
      <c r="AL28" s="68"/>
      <c r="AM28" s="68"/>
      <c r="AN28" s="68"/>
      <c r="AO28" s="68"/>
      <c r="AQ28" s="20" t="s">
        <v>1077</v>
      </c>
      <c r="AS28" s="13"/>
      <c r="AT28" t="s">
        <v>1820</v>
      </c>
      <c r="AZ28" s="70"/>
      <c r="BF28" s="66"/>
      <c r="BH28" s="70"/>
      <c r="BI28" s="27" t="s">
        <v>1826</v>
      </c>
      <c r="CA28" s="13"/>
      <c r="CO28" s="15" t="s">
        <v>1886</v>
      </c>
      <c r="CP28" s="40">
        <v>1488.7422036365399</v>
      </c>
      <c r="CQ28" s="27" t="s">
        <v>1885</v>
      </c>
      <c r="DI28" s="13"/>
      <c r="DJ28" t="s">
        <v>2027</v>
      </c>
      <c r="DW28" s="14"/>
      <c r="DY28" s="16"/>
      <c r="DZ28" s="17"/>
      <c r="EA28" s="17"/>
      <c r="EB28" s="17"/>
      <c r="EC28" s="17"/>
      <c r="ED28" s="17"/>
      <c r="EE28" s="17"/>
      <c r="EF28" s="17"/>
      <c r="EG28" s="17"/>
      <c r="EH28" s="17"/>
      <c r="EI28" s="17"/>
      <c r="EJ28" s="17"/>
      <c r="EK28" s="17"/>
      <c r="EL28" s="17"/>
      <c r="EM28" s="17"/>
      <c r="EN28" s="18"/>
      <c r="EP28" s="13"/>
      <c r="FE28" s="14"/>
      <c r="FG28" s="13"/>
      <c r="FH28" t="s">
        <v>2096</v>
      </c>
      <c r="FV28" s="14"/>
      <c r="GD28" s="13"/>
      <c r="GE28" t="s">
        <v>2132</v>
      </c>
      <c r="GR28" s="70"/>
      <c r="GS28" s="27" t="s">
        <v>2149</v>
      </c>
      <c r="GU28" s="13"/>
      <c r="GW28" t="s">
        <v>2262</v>
      </c>
      <c r="GX28" s="6" t="s">
        <v>2284</v>
      </c>
      <c r="GY28" s="25" t="s">
        <v>1778</v>
      </c>
      <c r="GZ28" s="69"/>
      <c r="HA28" s="25" t="s">
        <v>2254</v>
      </c>
      <c r="HB28" s="71"/>
      <c r="HC28" s="27" t="s">
        <v>2280</v>
      </c>
      <c r="HK28" s="13"/>
      <c r="HR28" s="14"/>
      <c r="HT28" s="13"/>
      <c r="IA28" s="14"/>
    </row>
    <row r="29" spans="2:235" ht="18" x14ac:dyDescent="0.35">
      <c r="N29" s="13"/>
      <c r="P29" t="s">
        <v>1008</v>
      </c>
      <c r="Y29" s="66"/>
      <c r="Z29" s="27" t="s">
        <v>1015</v>
      </c>
      <c r="AA29" s="13"/>
      <c r="AC29" t="s">
        <v>1071</v>
      </c>
      <c r="AQ29" s="14"/>
      <c r="AS29" s="13"/>
      <c r="AT29" s="31" t="s">
        <v>1828</v>
      </c>
      <c r="AU29" s="31"/>
      <c r="BI29" s="14"/>
      <c r="CA29" s="13"/>
      <c r="CB29" s="2" t="s">
        <v>1888</v>
      </c>
      <c r="CQ29" s="14"/>
      <c r="DI29" s="13"/>
      <c r="DJ29" t="s">
        <v>2025</v>
      </c>
      <c r="DK29" s="40">
        <v>546.61925503127304</v>
      </c>
      <c r="DL29" s="40">
        <v>616.71269839400395</v>
      </c>
      <c r="DM29" s="40">
        <v>653.07479021671702</v>
      </c>
      <c r="DN29" s="40">
        <v>657.87663884685401</v>
      </c>
      <c r="DO29" s="40">
        <v>643.73480193916703</v>
      </c>
      <c r="DP29" s="40">
        <v>603.77359975252205</v>
      </c>
      <c r="DQ29" s="40">
        <v>585.76037559684698</v>
      </c>
      <c r="DR29" s="40">
        <v>582.78860049782497</v>
      </c>
      <c r="DS29" s="40">
        <v>590.56200822923802</v>
      </c>
      <c r="DT29" s="40">
        <v>574.17194258652296</v>
      </c>
      <c r="DU29" s="40">
        <v>534.889376957781</v>
      </c>
      <c r="DV29" s="40">
        <v>521.17751067037295</v>
      </c>
      <c r="DW29" s="27" t="s">
        <v>2021</v>
      </c>
      <c r="EP29" s="13"/>
      <c r="EQ29" t="s">
        <v>2060</v>
      </c>
      <c r="FC29" s="15" t="s">
        <v>2085</v>
      </c>
      <c r="FD29" s="40">
        <v>17.519657634475099</v>
      </c>
      <c r="FE29" s="27" t="s">
        <v>2077</v>
      </c>
      <c r="FG29" s="13"/>
      <c r="FH29" t="s">
        <v>2110</v>
      </c>
      <c r="FI29" s="66"/>
      <c r="FJ29" s="66"/>
      <c r="FK29" s="66"/>
      <c r="FL29" s="66"/>
      <c r="FM29" s="66"/>
      <c r="FN29" s="69"/>
      <c r="FO29" s="69"/>
      <c r="FP29" s="69"/>
      <c r="FQ29" s="66"/>
      <c r="FR29" s="66"/>
      <c r="FS29" s="66"/>
      <c r="FT29" s="66"/>
      <c r="FV29" s="14"/>
      <c r="GD29" s="13"/>
      <c r="GS29" s="14"/>
      <c r="GU29" s="13"/>
      <c r="GV29" t="s">
        <v>2277</v>
      </c>
      <c r="GX29" s="36" t="s">
        <v>2155</v>
      </c>
      <c r="GY29" s="25" t="s">
        <v>1778</v>
      </c>
      <c r="GZ29" s="66"/>
      <c r="HA29" s="25" t="s">
        <v>2254</v>
      </c>
      <c r="HB29" s="71"/>
      <c r="HC29" s="27" t="s">
        <v>2281</v>
      </c>
      <c r="HK29" s="13"/>
      <c r="HL29" t="s">
        <v>2301</v>
      </c>
      <c r="HM29" t="s">
        <v>2365</v>
      </c>
      <c r="HR29" s="14"/>
      <c r="HT29" s="13"/>
      <c r="HU29" t="s">
        <v>2301</v>
      </c>
      <c r="HV29" t="s">
        <v>2365</v>
      </c>
      <c r="IA29" s="14"/>
    </row>
    <row r="30" spans="2:235" ht="18" x14ac:dyDescent="0.35">
      <c r="N30" s="13"/>
      <c r="P30" t="s">
        <v>1009</v>
      </c>
      <c r="Y30" s="66"/>
      <c r="Z30" s="27" t="s">
        <v>1016</v>
      </c>
      <c r="AA30" s="13"/>
      <c r="AD30" t="s">
        <v>1768</v>
      </c>
      <c r="AQ30" s="14"/>
      <c r="AS30" s="13"/>
      <c r="AT30" s="32" t="s">
        <v>1827</v>
      </c>
      <c r="AU30" s="32"/>
      <c r="BI30" s="14"/>
      <c r="CA30" s="13"/>
      <c r="CB30" s="2" t="s">
        <v>1887</v>
      </c>
      <c r="CQ30" s="14"/>
      <c r="DI30" s="16"/>
      <c r="DJ30" s="17"/>
      <c r="DK30" s="17"/>
      <c r="DL30" s="17"/>
      <c r="DM30" s="17"/>
      <c r="DN30" s="17"/>
      <c r="DO30" s="17"/>
      <c r="DP30" s="17"/>
      <c r="DQ30" s="17"/>
      <c r="DR30" s="17"/>
      <c r="DS30" s="17"/>
      <c r="DT30" s="17"/>
      <c r="DU30" s="17"/>
      <c r="DV30" s="17"/>
      <c r="DW30" s="18"/>
      <c r="EP30" s="13"/>
      <c r="FE30" s="14"/>
      <c r="FG30" s="13"/>
      <c r="FT30" s="15" t="s">
        <v>2117</v>
      </c>
      <c r="FU30" s="69"/>
      <c r="FV30" s="27" t="s">
        <v>2103</v>
      </c>
      <c r="GD30" s="13"/>
      <c r="GE30" t="s">
        <v>2133</v>
      </c>
      <c r="GR30" s="70"/>
      <c r="GS30" s="27" t="s">
        <v>2150</v>
      </c>
      <c r="GU30" s="13"/>
      <c r="HC30" s="14"/>
      <c r="HK30" s="13"/>
      <c r="HL30" t="s">
        <v>2302</v>
      </c>
      <c r="HM30" s="6" t="s">
        <v>2367</v>
      </c>
      <c r="HN30" s="25" t="s">
        <v>1778</v>
      </c>
      <c r="HO30" s="8"/>
      <c r="HP30" s="25" t="s">
        <v>953</v>
      </c>
      <c r="HQ30" s="70"/>
      <c r="HR30" s="37" t="s">
        <v>2366</v>
      </c>
      <c r="HT30" s="13"/>
      <c r="HU30" t="s">
        <v>2302</v>
      </c>
      <c r="HV30" s="6" t="s">
        <v>2367</v>
      </c>
      <c r="HW30" s="25" t="s">
        <v>1778</v>
      </c>
      <c r="HX30" s="8"/>
      <c r="HY30" s="25" t="s">
        <v>953</v>
      </c>
      <c r="HZ30" s="70"/>
      <c r="IA30" s="37" t="s">
        <v>2391</v>
      </c>
    </row>
    <row r="31" spans="2:235" ht="18" x14ac:dyDescent="0.35">
      <c r="N31" s="13"/>
      <c r="P31" t="s">
        <v>1010</v>
      </c>
      <c r="Y31" s="66"/>
      <c r="Z31" s="27" t="s">
        <v>1017</v>
      </c>
      <c r="AA31" s="13"/>
      <c r="AB31" t="s">
        <v>1078</v>
      </c>
      <c r="AD31" s="68"/>
      <c r="AE31" s="68"/>
      <c r="AF31" s="68"/>
      <c r="AG31" s="68"/>
      <c r="AH31" s="68"/>
      <c r="AI31" s="68"/>
      <c r="AJ31" s="68"/>
      <c r="AK31" s="68"/>
      <c r="AL31" s="68"/>
      <c r="AM31" s="68"/>
      <c r="AN31" s="68"/>
      <c r="AO31" s="68"/>
      <c r="AQ31" s="20" t="s">
        <v>1079</v>
      </c>
      <c r="AS31" s="13"/>
      <c r="AT31" t="s">
        <v>1829</v>
      </c>
      <c r="BF31" s="15" t="s">
        <v>1830</v>
      </c>
      <c r="BG31" s="6" t="s">
        <v>953</v>
      </c>
      <c r="BH31" s="40">
        <v>10.6136831577574</v>
      </c>
      <c r="BI31" s="27" t="s">
        <v>1833</v>
      </c>
      <c r="CA31" s="13"/>
      <c r="CB31" t="s">
        <v>1889</v>
      </c>
      <c r="CQ31" s="14"/>
      <c r="EP31" s="13"/>
      <c r="EQ31" s="2" t="s">
        <v>2084</v>
      </c>
      <c r="FE31" s="14"/>
      <c r="FG31" s="13"/>
      <c r="FH31" t="s">
        <v>2119</v>
      </c>
      <c r="FV31" s="14"/>
      <c r="GD31" s="13"/>
      <c r="GS31" s="14"/>
      <c r="GU31" s="13"/>
      <c r="GV31" t="s">
        <v>2285</v>
      </c>
      <c r="HC31" s="14"/>
      <c r="HK31" s="13"/>
      <c r="HR31" s="14"/>
      <c r="HT31" s="13"/>
      <c r="IA31" s="14"/>
    </row>
    <row r="32" spans="2:235" ht="18" x14ac:dyDescent="0.35">
      <c r="N32" s="13"/>
      <c r="P32" t="s">
        <v>1011</v>
      </c>
      <c r="X32" s="15" t="s">
        <v>1013</v>
      </c>
      <c r="Y32" s="66"/>
      <c r="Z32" s="27" t="s">
        <v>1018</v>
      </c>
      <c r="AA32" s="13"/>
      <c r="AC32" t="s">
        <v>1072</v>
      </c>
      <c r="AQ32" s="14"/>
      <c r="AS32" s="13"/>
      <c r="AT32" t="s">
        <v>1831</v>
      </c>
      <c r="BF32" s="15" t="s">
        <v>1832</v>
      </c>
      <c r="BG32" s="6" t="s">
        <v>953</v>
      </c>
      <c r="BH32" s="40">
        <v>5000</v>
      </c>
      <c r="BI32" s="27" t="s">
        <v>1834</v>
      </c>
      <c r="CA32" s="13"/>
      <c r="CB32" t="s">
        <v>1890</v>
      </c>
      <c r="CD32" s="40">
        <v>23.126039845980799</v>
      </c>
      <c r="CE32" s="40">
        <v>20.329804136999002</v>
      </c>
      <c r="CF32" s="40">
        <v>21.353615508644499</v>
      </c>
      <c r="CG32" s="40">
        <v>18.263700282985301</v>
      </c>
      <c r="CH32" s="40">
        <v>17.341649789157799</v>
      </c>
      <c r="CI32" s="40">
        <v>15.238107642574001</v>
      </c>
      <c r="CJ32" s="40">
        <v>14.7878014292333</v>
      </c>
      <c r="CK32" s="40">
        <v>15.612761625782399</v>
      </c>
      <c r="CL32" s="40">
        <v>16.041003438645902</v>
      </c>
      <c r="CM32" s="40">
        <v>18.345899013883901</v>
      </c>
      <c r="CN32" s="40">
        <v>20.058303257336899</v>
      </c>
      <c r="CO32" s="40">
        <v>22.812644574257899</v>
      </c>
      <c r="CQ32" s="27" t="s">
        <v>1891</v>
      </c>
      <c r="EP32" s="13"/>
      <c r="EQ32" s="2" t="s">
        <v>2061</v>
      </c>
      <c r="FE32" s="14"/>
      <c r="FG32" s="13"/>
      <c r="FH32" t="s">
        <v>2111</v>
      </c>
      <c r="FI32" s="66"/>
      <c r="FJ32" s="66"/>
      <c r="FK32" s="66"/>
      <c r="FL32" s="66"/>
      <c r="FM32" s="66"/>
      <c r="FN32" s="69"/>
      <c r="FO32" s="69"/>
      <c r="FP32" s="69"/>
      <c r="FQ32" s="66"/>
      <c r="FR32" s="66"/>
      <c r="FS32" s="66"/>
      <c r="FT32" s="66"/>
      <c r="FV32" s="14"/>
      <c r="GD32" s="13"/>
      <c r="GF32" s="8" t="s">
        <v>1044</v>
      </c>
      <c r="GG32" s="8" t="s">
        <v>1045</v>
      </c>
      <c r="GH32" s="8" t="s">
        <v>1046</v>
      </c>
      <c r="GI32" s="8" t="s">
        <v>1047</v>
      </c>
      <c r="GJ32" s="8" t="s">
        <v>1048</v>
      </c>
      <c r="GK32" s="8" t="s">
        <v>1049</v>
      </c>
      <c r="GL32" s="8" t="s">
        <v>1050</v>
      </c>
      <c r="GM32" s="8" t="s">
        <v>1051</v>
      </c>
      <c r="GN32" s="8" t="s">
        <v>1052</v>
      </c>
      <c r="GO32" s="8" t="s">
        <v>1053</v>
      </c>
      <c r="GP32" s="8" t="s">
        <v>1054</v>
      </c>
      <c r="GQ32" s="8" t="s">
        <v>1055</v>
      </c>
      <c r="GR32" t="s">
        <v>2134</v>
      </c>
      <c r="GS32" s="14"/>
      <c r="GU32" s="13"/>
      <c r="GW32" t="s">
        <v>2248</v>
      </c>
      <c r="HA32" s="15"/>
      <c r="HB32" s="71"/>
      <c r="HC32" s="27" t="s">
        <v>2287</v>
      </c>
      <c r="HK32" s="13"/>
      <c r="HL32" t="s">
        <v>2353</v>
      </c>
      <c r="HM32" t="s">
        <v>2368</v>
      </c>
      <c r="HR32" s="14"/>
      <c r="HT32" s="13"/>
      <c r="HU32" t="s">
        <v>2353</v>
      </c>
      <c r="HV32" t="s">
        <v>2398</v>
      </c>
      <c r="IA32" s="14"/>
    </row>
    <row r="33" spans="14:235" ht="18" x14ac:dyDescent="0.35">
      <c r="N33" s="13"/>
      <c r="P33" t="s">
        <v>1012</v>
      </c>
      <c r="X33" s="15" t="s">
        <v>1014</v>
      </c>
      <c r="Y33" s="66"/>
      <c r="Z33" s="27" t="s">
        <v>1019</v>
      </c>
      <c r="AA33" s="13"/>
      <c r="AD33" t="s">
        <v>1769</v>
      </c>
      <c r="AQ33" s="14"/>
      <c r="AS33" s="13"/>
      <c r="AT33" t="s">
        <v>1835</v>
      </c>
      <c r="BF33" s="15" t="s">
        <v>1836</v>
      </c>
      <c r="BG33" s="6" t="s">
        <v>953</v>
      </c>
      <c r="BH33" s="40">
        <v>100</v>
      </c>
      <c r="BI33" s="27" t="s">
        <v>1837</v>
      </c>
      <c r="CA33" s="13"/>
      <c r="CQ33" s="14"/>
      <c r="EP33" s="13"/>
      <c r="EQ33" s="2" t="s">
        <v>2062</v>
      </c>
      <c r="FE33" s="14"/>
      <c r="FG33" s="13"/>
      <c r="FT33" s="15" t="s">
        <v>2118</v>
      </c>
      <c r="FU33" s="69"/>
      <c r="FV33" s="27" t="s">
        <v>2104</v>
      </c>
      <c r="GD33" s="13"/>
      <c r="GS33" s="14"/>
      <c r="GU33" s="13"/>
      <c r="GW33" t="s">
        <v>2249</v>
      </c>
      <c r="HA33" s="15" t="s">
        <v>2292</v>
      </c>
      <c r="HB33" s="71"/>
      <c r="HC33" s="27" t="s">
        <v>2288</v>
      </c>
      <c r="HK33" s="13"/>
      <c r="HL33" t="s">
        <v>2354</v>
      </c>
      <c r="HM33" s="6" t="s">
        <v>2310</v>
      </c>
      <c r="HN33" s="25" t="s">
        <v>1778</v>
      </c>
      <c r="HO33" s="8"/>
      <c r="HP33" s="25" t="s">
        <v>953</v>
      </c>
      <c r="HQ33" s="70"/>
      <c r="HR33" s="37" t="s">
        <v>2369</v>
      </c>
      <c r="HT33" s="13"/>
      <c r="HU33" t="s">
        <v>2354</v>
      </c>
      <c r="HV33" s="6" t="s">
        <v>2310</v>
      </c>
      <c r="HW33" s="25" t="s">
        <v>1778</v>
      </c>
      <c r="HX33" s="8"/>
      <c r="HY33" s="25" t="s">
        <v>953</v>
      </c>
      <c r="HZ33" s="70"/>
      <c r="IA33" s="37" t="s">
        <v>2392</v>
      </c>
    </row>
    <row r="34" spans="14:235" ht="18" x14ac:dyDescent="0.35">
      <c r="N34" s="13"/>
      <c r="O34" t="s">
        <v>1020</v>
      </c>
      <c r="Y34" s="72">
        <v>1.8772099999999999E-5</v>
      </c>
      <c r="Z34" s="27" t="s">
        <v>1022</v>
      </c>
      <c r="AA34" s="13"/>
      <c r="AB34" t="s">
        <v>1080</v>
      </c>
      <c r="AD34" s="39">
        <v>0.50000000000071598</v>
      </c>
      <c r="AE34" s="39">
        <v>0.50000000000068801</v>
      </c>
      <c r="AF34" s="39">
        <v>0.50000000000066103</v>
      </c>
      <c r="AG34" s="39">
        <v>0.50000000000053302</v>
      </c>
      <c r="AH34" s="39">
        <v>0.50000000000050904</v>
      </c>
      <c r="AI34" s="39">
        <v>0.50000000000039702</v>
      </c>
      <c r="AJ34" s="39">
        <v>0.50000000000039702</v>
      </c>
      <c r="AK34" s="39">
        <v>0.50000000000037603</v>
      </c>
      <c r="AL34" s="39">
        <v>0.50000000000043998</v>
      </c>
      <c r="AM34" s="39">
        <v>0.50000000000050904</v>
      </c>
      <c r="AN34" s="39">
        <v>0.500000000000557</v>
      </c>
      <c r="AO34" s="39">
        <v>0.50000000000060796</v>
      </c>
      <c r="AQ34" s="20" t="s">
        <v>1081</v>
      </c>
      <c r="AS34" s="13"/>
      <c r="AT34" s="2" t="s">
        <v>1838</v>
      </c>
      <c r="AU34" s="2"/>
      <c r="BI34" s="14"/>
      <c r="CA34" s="13"/>
      <c r="CB34" t="s">
        <v>1892</v>
      </c>
      <c r="CP34" s="40">
        <v>0</v>
      </c>
      <c r="CQ34" s="27" t="s">
        <v>1893</v>
      </c>
      <c r="EP34" s="16"/>
      <c r="EQ34" s="17"/>
      <c r="ER34" s="17"/>
      <c r="ES34" s="17"/>
      <c r="ET34" s="17"/>
      <c r="EU34" s="17"/>
      <c r="EV34" s="17"/>
      <c r="EW34" s="17"/>
      <c r="EX34" s="17"/>
      <c r="EY34" s="17"/>
      <c r="EZ34" s="17"/>
      <c r="FA34" s="17"/>
      <c r="FB34" s="17"/>
      <c r="FC34" s="17"/>
      <c r="FD34" s="17"/>
      <c r="FE34" s="18"/>
      <c r="FG34" s="13"/>
      <c r="FV34" s="14"/>
      <c r="GD34" s="13"/>
      <c r="GE34" t="s">
        <v>2135</v>
      </c>
      <c r="GS34" s="14"/>
      <c r="GU34" s="13"/>
      <c r="GW34" t="s">
        <v>2250</v>
      </c>
      <c r="GX34" s="6" t="s">
        <v>2293</v>
      </c>
      <c r="GY34" s="25" t="s">
        <v>1778</v>
      </c>
      <c r="GZ34" s="69"/>
      <c r="HA34" s="25" t="s">
        <v>2254</v>
      </c>
      <c r="HB34" s="71"/>
      <c r="HC34" s="27" t="s">
        <v>2289</v>
      </c>
      <c r="HK34" s="13"/>
      <c r="HL34" t="s">
        <v>2355</v>
      </c>
      <c r="HM34" s="6" t="s">
        <v>2311</v>
      </c>
      <c r="HN34" s="25" t="s">
        <v>1778</v>
      </c>
      <c r="HO34" s="8"/>
      <c r="HP34" s="25" t="s">
        <v>953</v>
      </c>
      <c r="HQ34" s="70"/>
      <c r="HR34" s="37" t="s">
        <v>2370</v>
      </c>
      <c r="HT34" s="13"/>
      <c r="HU34" t="s">
        <v>2355</v>
      </c>
      <c r="HV34" s="6" t="s">
        <v>2311</v>
      </c>
      <c r="HW34" s="25" t="s">
        <v>1778</v>
      </c>
      <c r="HX34" s="8"/>
      <c r="HY34" s="25" t="s">
        <v>953</v>
      </c>
      <c r="HZ34" s="70"/>
      <c r="IA34" s="37" t="s">
        <v>2393</v>
      </c>
    </row>
    <row r="35" spans="14:235" ht="18" x14ac:dyDescent="0.35">
      <c r="N35" s="13"/>
      <c r="O35" t="s">
        <v>1021</v>
      </c>
      <c r="Y35" s="69"/>
      <c r="Z35" s="27" t="s">
        <v>1023</v>
      </c>
      <c r="AA35" s="13"/>
      <c r="AB35" t="s">
        <v>1770</v>
      </c>
      <c r="AQ35" s="14"/>
      <c r="AS35" s="13"/>
      <c r="AT35" s="2" t="s">
        <v>1839</v>
      </c>
      <c r="AU35" s="2"/>
      <c r="BI35" s="14"/>
      <c r="CA35" s="13"/>
      <c r="CB35" s="2" t="s">
        <v>1894</v>
      </c>
      <c r="CQ35" s="14"/>
      <c r="FG35" s="13"/>
      <c r="FH35" t="s">
        <v>2097</v>
      </c>
      <c r="FU35" s="69"/>
      <c r="FV35" s="27" t="s">
        <v>2105</v>
      </c>
      <c r="GD35" s="13"/>
      <c r="GF35" s="41">
        <f>value_98c_1</f>
        <v>179.42039056154101</v>
      </c>
      <c r="GG35" s="41">
        <f>value_98c_2</f>
        <v>131.61292783827099</v>
      </c>
      <c r="GH35" s="41">
        <f>value_98c_3</f>
        <v>106.106884623271</v>
      </c>
      <c r="GI35" s="41">
        <f>value_98c_4</f>
        <v>63.608213373176902</v>
      </c>
      <c r="GJ35" s="41">
        <f>value_98c_5</f>
        <v>31.713213423448099</v>
      </c>
      <c r="GK35" s="34" t="s">
        <v>1803</v>
      </c>
      <c r="GL35" s="34" t="s">
        <v>1803</v>
      </c>
      <c r="GM35" s="34" t="s">
        <v>1803</v>
      </c>
      <c r="GN35" s="34" t="s">
        <v>1803</v>
      </c>
      <c r="GO35" s="41">
        <f>value_98c_10</f>
        <v>53.892652431469998</v>
      </c>
      <c r="GP35" s="41">
        <f>value_98c_11</f>
        <v>119.480320680277</v>
      </c>
      <c r="GQ35" s="41">
        <f>value_98c_12</f>
        <v>190.148278792301</v>
      </c>
      <c r="GS35" s="27"/>
      <c r="GU35" s="13"/>
      <c r="GW35" t="s">
        <v>2262</v>
      </c>
      <c r="GX35" s="6" t="s">
        <v>2294</v>
      </c>
      <c r="GY35" s="25" t="s">
        <v>1778</v>
      </c>
      <c r="GZ35" s="69"/>
      <c r="HA35" s="25" t="s">
        <v>2254</v>
      </c>
      <c r="HB35" s="71"/>
      <c r="HC35" s="27" t="s">
        <v>2290</v>
      </c>
      <c r="HK35" s="13"/>
      <c r="HL35" s="23" t="s">
        <v>2376</v>
      </c>
      <c r="HR35" s="14"/>
      <c r="HT35" s="13"/>
      <c r="HU35" s="23"/>
      <c r="IA35" s="14"/>
    </row>
    <row r="36" spans="14:235" ht="18" x14ac:dyDescent="0.35">
      <c r="N36" s="13"/>
      <c r="O36" t="s">
        <v>1024</v>
      </c>
      <c r="Z36" s="14"/>
      <c r="AA36" s="13"/>
      <c r="AB36" t="s">
        <v>1082</v>
      </c>
      <c r="AD36" s="39">
        <v>0.50000000000071598</v>
      </c>
      <c r="AE36" s="39">
        <v>0.50000000000068801</v>
      </c>
      <c r="AF36" s="39">
        <v>0.50000000000066103</v>
      </c>
      <c r="AG36" s="39">
        <v>0.50000000000053302</v>
      </c>
      <c r="AH36" s="39">
        <v>0.50000000000050904</v>
      </c>
      <c r="AI36" s="39">
        <v>0.50000000000039702</v>
      </c>
      <c r="AJ36" s="39">
        <v>0.50000000000039702</v>
      </c>
      <c r="AK36" s="39">
        <v>0.50000000000037603</v>
      </c>
      <c r="AL36" s="39">
        <v>0.50000000000043998</v>
      </c>
      <c r="AM36" s="39">
        <v>0.50000000000050904</v>
      </c>
      <c r="AN36" s="39">
        <v>0.500000000000557</v>
      </c>
      <c r="AO36" s="39">
        <v>0.50000000000060796</v>
      </c>
      <c r="AQ36" s="27" t="s">
        <v>1083</v>
      </c>
      <c r="AS36" s="13"/>
      <c r="AT36" s="2" t="s">
        <v>1840</v>
      </c>
      <c r="AU36" s="2"/>
      <c r="BI36" s="14"/>
      <c r="CA36" s="13"/>
      <c r="CB36" s="2" t="s">
        <v>1895</v>
      </c>
      <c r="CQ36" s="14"/>
      <c r="FG36" s="16"/>
      <c r="FH36" s="17"/>
      <c r="FI36" s="17"/>
      <c r="FJ36" s="17"/>
      <c r="FK36" s="17"/>
      <c r="FL36" s="17"/>
      <c r="FM36" s="17"/>
      <c r="FN36" s="17"/>
      <c r="FO36" s="17"/>
      <c r="FP36" s="17"/>
      <c r="FQ36" s="17"/>
      <c r="FR36" s="17"/>
      <c r="FS36" s="17"/>
      <c r="FT36" s="17"/>
      <c r="FU36" s="17"/>
      <c r="FV36" s="18"/>
      <c r="GD36" s="13"/>
      <c r="GS36" s="14"/>
      <c r="GU36" s="13"/>
      <c r="GV36" t="s">
        <v>2286</v>
      </c>
      <c r="GX36" s="36" t="s">
        <v>2182</v>
      </c>
      <c r="GY36" s="25" t="s">
        <v>1778</v>
      </c>
      <c r="GZ36" s="28">
        <v>3.64</v>
      </c>
      <c r="HA36" s="25" t="s">
        <v>2254</v>
      </c>
      <c r="HB36" s="42">
        <v>87.818588127620302</v>
      </c>
      <c r="HC36" s="27" t="s">
        <v>2291</v>
      </c>
      <c r="HK36" s="13"/>
      <c r="HR36" s="14"/>
      <c r="HT36" s="13"/>
      <c r="HU36" t="s">
        <v>2399</v>
      </c>
      <c r="HX36" s="15" t="s">
        <v>2397</v>
      </c>
      <c r="HY36" s="25" t="s">
        <v>953</v>
      </c>
      <c r="HZ36" s="40">
        <v>4557.5488668991402</v>
      </c>
      <c r="IA36" s="37" t="s">
        <v>2394</v>
      </c>
    </row>
    <row r="37" spans="14:235" ht="18" x14ac:dyDescent="0.35">
      <c r="N37" s="13"/>
      <c r="O37" t="s">
        <v>1025</v>
      </c>
      <c r="Y37" s="72">
        <v>9.3860499999999897E-7</v>
      </c>
      <c r="Z37" s="27" t="s">
        <v>1026</v>
      </c>
      <c r="AA37" s="13"/>
      <c r="AB37" t="s">
        <v>1073</v>
      </c>
      <c r="AQ37" s="14"/>
      <c r="AS37" s="13"/>
      <c r="AT37" t="s">
        <v>1841</v>
      </c>
      <c r="BH37" s="40">
        <v>11.5</v>
      </c>
      <c r="BI37" s="27" t="s">
        <v>1842</v>
      </c>
      <c r="CA37" s="13"/>
      <c r="CQ37" s="14"/>
      <c r="GD37" s="13"/>
      <c r="GE37" t="s">
        <v>2136</v>
      </c>
      <c r="GS37" s="14"/>
      <c r="GU37" s="13"/>
      <c r="GV37" t="s">
        <v>2295</v>
      </c>
      <c r="HC37" s="14"/>
      <c r="HK37" s="13"/>
      <c r="HL37" t="s">
        <v>2356</v>
      </c>
      <c r="HO37" s="15" t="s">
        <v>2374</v>
      </c>
      <c r="HP37" s="25" t="s">
        <v>953</v>
      </c>
      <c r="HQ37" s="40">
        <v>793.50263662194504</v>
      </c>
      <c r="HR37" s="37" t="s">
        <v>2371</v>
      </c>
      <c r="HT37" s="13"/>
      <c r="IA37" s="14"/>
    </row>
    <row r="38" spans="14:235" ht="18" x14ac:dyDescent="0.35">
      <c r="N38" s="13"/>
      <c r="O38" t="s">
        <v>1027</v>
      </c>
      <c r="Z38" s="14"/>
      <c r="AA38" s="13"/>
      <c r="AB38" t="s">
        <v>1074</v>
      </c>
      <c r="AQ38" s="14"/>
      <c r="AS38" s="13"/>
      <c r="AU38" s="2" t="s">
        <v>1843</v>
      </c>
      <c r="BI38" s="14"/>
      <c r="CA38" s="13"/>
      <c r="CB38" t="s">
        <v>1896</v>
      </c>
      <c r="CQ38" s="14"/>
      <c r="GD38" s="13"/>
      <c r="GE38" t="s">
        <v>2157</v>
      </c>
      <c r="GS38" s="14"/>
      <c r="GU38" s="13"/>
      <c r="HC38" s="14"/>
      <c r="HK38" s="13"/>
      <c r="HR38" s="14"/>
      <c r="HT38" s="13"/>
      <c r="HU38" s="1" t="s">
        <v>2400</v>
      </c>
      <c r="HX38" s="15" t="s">
        <v>2396</v>
      </c>
      <c r="HY38" s="25" t="s">
        <v>953</v>
      </c>
      <c r="HZ38" s="40">
        <v>91.150977337982795</v>
      </c>
      <c r="IA38" s="37" t="s">
        <v>2395</v>
      </c>
    </row>
    <row r="39" spans="14:235" ht="18" x14ac:dyDescent="0.35">
      <c r="N39" s="13"/>
      <c r="O39" s="2" t="s">
        <v>1028</v>
      </c>
      <c r="Z39" s="14"/>
      <c r="AA39" s="13"/>
      <c r="AB39" t="s">
        <v>1075</v>
      </c>
      <c r="AQ39" s="14"/>
      <c r="AS39" s="13"/>
      <c r="AT39" t="s">
        <v>1844</v>
      </c>
      <c r="BH39" s="40">
        <v>0</v>
      </c>
      <c r="BI39" s="27" t="s">
        <v>1845</v>
      </c>
      <c r="CA39" s="13"/>
      <c r="CB39" t="s">
        <v>1897</v>
      </c>
      <c r="CP39" s="69"/>
      <c r="CQ39" s="27" t="s">
        <v>1906</v>
      </c>
      <c r="GD39" s="13"/>
      <c r="GE39" t="s">
        <v>2158</v>
      </c>
      <c r="GF39" s="28">
        <v>227.11441843233001</v>
      </c>
      <c r="GG39" s="28">
        <v>166.59864283325501</v>
      </c>
      <c r="GH39" s="28">
        <v>134.312512181356</v>
      </c>
      <c r="GI39" s="28">
        <v>80.516725788831494</v>
      </c>
      <c r="GJ39" s="28">
        <v>40.143308130946998</v>
      </c>
      <c r="GK39" s="66"/>
      <c r="GL39" s="66"/>
      <c r="GM39" s="66"/>
      <c r="GN39" s="66"/>
      <c r="GO39" s="28">
        <v>68.218547381607706</v>
      </c>
      <c r="GP39" s="28">
        <v>151.240912253516</v>
      </c>
      <c r="GQ39" s="28">
        <v>240.69402378772301</v>
      </c>
      <c r="GS39" s="27"/>
      <c r="GU39" s="13"/>
      <c r="GV39" t="s">
        <v>2296</v>
      </c>
      <c r="GX39" s="36" t="s">
        <v>1952</v>
      </c>
      <c r="GY39" s="25" t="s">
        <v>1778</v>
      </c>
      <c r="GZ39" s="28">
        <v>16.489999999999998</v>
      </c>
      <c r="HA39" s="25" t="s">
        <v>2254</v>
      </c>
      <c r="HB39" s="71"/>
      <c r="HC39" s="27" t="s">
        <v>2313</v>
      </c>
      <c r="HK39" s="13"/>
      <c r="HL39" s="1" t="s">
        <v>2357</v>
      </c>
      <c r="HO39" s="15" t="s">
        <v>2375</v>
      </c>
      <c r="HP39" s="25" t="s">
        <v>953</v>
      </c>
      <c r="HQ39" s="40">
        <v>15.8700527324389</v>
      </c>
      <c r="HR39" s="37" t="s">
        <v>2372</v>
      </c>
      <c r="HT39" s="13"/>
      <c r="IA39" s="14"/>
    </row>
    <row r="40" spans="14:235" ht="18" x14ac:dyDescent="0.35">
      <c r="N40" s="13"/>
      <c r="O40" s="2" t="s">
        <v>1029</v>
      </c>
      <c r="Z40" s="14"/>
      <c r="AA40" s="13"/>
      <c r="AB40" t="s">
        <v>1082</v>
      </c>
      <c r="AD40" s="8"/>
      <c r="AE40" s="8"/>
      <c r="AF40" s="8"/>
      <c r="AG40" s="8"/>
      <c r="AH40" s="8"/>
      <c r="AI40" s="8"/>
      <c r="AJ40" s="8"/>
      <c r="AK40" s="8"/>
      <c r="AL40" s="8"/>
      <c r="AM40" s="8"/>
      <c r="AN40" s="8"/>
      <c r="AO40" s="8"/>
      <c r="AQ40" s="27" t="s">
        <v>1083</v>
      </c>
      <c r="AS40" s="13"/>
      <c r="AT40" t="s">
        <v>1846</v>
      </c>
      <c r="BF40" s="15" t="s">
        <v>1848</v>
      </c>
      <c r="BG40" s="6" t="s">
        <v>953</v>
      </c>
      <c r="BH40" s="40">
        <v>22.1136831577574</v>
      </c>
      <c r="BI40" s="27" t="s">
        <v>1847</v>
      </c>
      <c r="CA40" s="13"/>
      <c r="CC40" t="s">
        <v>1898</v>
      </c>
      <c r="CP40" s="69"/>
      <c r="CQ40" s="27" t="s">
        <v>1907</v>
      </c>
      <c r="GD40" s="13"/>
      <c r="GQ40" s="15" t="s">
        <v>2163</v>
      </c>
      <c r="GR40" s="40">
        <v>1108.83909078956</v>
      </c>
      <c r="GS40" s="27" t="s">
        <v>2154</v>
      </c>
      <c r="GU40" s="13"/>
      <c r="GV40" t="s">
        <v>2184</v>
      </c>
      <c r="GX40" s="36" t="s">
        <v>2188</v>
      </c>
      <c r="GY40" s="25" t="s">
        <v>1778</v>
      </c>
      <c r="GZ40" s="28">
        <f>electricity_unit_price</f>
        <v>16.489999999999998</v>
      </c>
      <c r="HA40" s="25" t="s">
        <v>2254</v>
      </c>
      <c r="HB40" s="69"/>
      <c r="HC40" s="27" t="s">
        <v>2314</v>
      </c>
      <c r="HK40" s="13"/>
      <c r="HR40" s="14"/>
      <c r="HT40" s="13"/>
      <c r="HU40" s="2" t="s">
        <v>2401</v>
      </c>
      <c r="IA40" s="14"/>
    </row>
    <row r="41" spans="14:235" x14ac:dyDescent="0.25">
      <c r="N41" s="13"/>
      <c r="O41" t="s">
        <v>1030</v>
      </c>
      <c r="Y41" s="28">
        <v>0</v>
      </c>
      <c r="Z41" s="27" t="s">
        <v>1033</v>
      </c>
      <c r="AA41" s="16"/>
      <c r="AB41" s="17"/>
      <c r="AC41" s="17"/>
      <c r="AD41" s="17"/>
      <c r="AE41" s="17"/>
      <c r="AF41" s="17"/>
      <c r="AG41" s="17"/>
      <c r="AH41" s="17"/>
      <c r="AI41" s="17"/>
      <c r="AJ41" s="17"/>
      <c r="AK41" s="17"/>
      <c r="AL41" s="17"/>
      <c r="AM41" s="17"/>
      <c r="AN41" s="17"/>
      <c r="AO41" s="17"/>
      <c r="AP41" s="17"/>
      <c r="AQ41" s="18"/>
      <c r="AS41" s="16"/>
      <c r="AT41" s="17"/>
      <c r="AU41" s="17"/>
      <c r="AV41" s="17"/>
      <c r="AW41" s="17"/>
      <c r="AX41" s="17"/>
      <c r="AY41" s="17"/>
      <c r="AZ41" s="17"/>
      <c r="BA41" s="17"/>
      <c r="BB41" s="17"/>
      <c r="BC41" s="17"/>
      <c r="BD41" s="17"/>
      <c r="BE41" s="17"/>
      <c r="BF41" s="17"/>
      <c r="BG41" s="17"/>
      <c r="BH41" s="17"/>
      <c r="BI41" s="18"/>
      <c r="CA41" s="13"/>
      <c r="CC41" t="s">
        <v>1899</v>
      </c>
      <c r="CP41" s="69"/>
      <c r="CQ41" s="27" t="s">
        <v>1908</v>
      </c>
      <c r="GD41" s="13"/>
      <c r="GE41" t="s">
        <v>2137</v>
      </c>
      <c r="GS41" s="14"/>
      <c r="GU41" s="13"/>
      <c r="GV41" t="s">
        <v>2297</v>
      </c>
      <c r="GX41" s="36" t="s">
        <v>2215</v>
      </c>
      <c r="GY41" s="25" t="s">
        <v>1778</v>
      </c>
      <c r="GZ41" s="28">
        <f>electricity_unit_price</f>
        <v>16.489999999999998</v>
      </c>
      <c r="HA41" s="25" t="s">
        <v>2254</v>
      </c>
      <c r="HB41" s="42">
        <v>18.9635</v>
      </c>
      <c r="HC41" s="27" t="s">
        <v>2315</v>
      </c>
      <c r="HK41" s="13"/>
      <c r="HL41" t="s">
        <v>2358</v>
      </c>
      <c r="HQ41" s="28">
        <v>89</v>
      </c>
      <c r="HR41" s="37" t="s">
        <v>2373</v>
      </c>
      <c r="HT41" s="13"/>
      <c r="HU41" s="2" t="s">
        <v>2360</v>
      </c>
      <c r="IA41" s="14"/>
    </row>
    <row r="42" spans="14:235" ht="18" x14ac:dyDescent="0.35">
      <c r="N42" s="13"/>
      <c r="O42" t="s">
        <v>1031</v>
      </c>
      <c r="X42" s="15" t="s">
        <v>1036</v>
      </c>
      <c r="Y42" s="28">
        <v>1</v>
      </c>
      <c r="Z42" s="27" t="s">
        <v>1034</v>
      </c>
      <c r="CA42" s="13"/>
      <c r="CB42" t="s">
        <v>1900</v>
      </c>
      <c r="CQ42" s="14"/>
      <c r="GD42" s="13"/>
      <c r="GE42" t="s">
        <v>2161</v>
      </c>
      <c r="GS42" s="14"/>
      <c r="GU42" s="13"/>
      <c r="GV42" s="2" t="s">
        <v>2298</v>
      </c>
      <c r="HC42" s="14"/>
      <c r="HK42" s="13"/>
      <c r="HR42" s="14"/>
      <c r="HT42" s="13"/>
      <c r="HU42" s="2" t="s">
        <v>2402</v>
      </c>
      <c r="IA42" s="14"/>
    </row>
    <row r="43" spans="14:235" ht="18" x14ac:dyDescent="0.35">
      <c r="N43" s="13"/>
      <c r="O43" t="s">
        <v>1032</v>
      </c>
      <c r="X43" s="15" t="s">
        <v>1037</v>
      </c>
      <c r="Y43" s="39">
        <v>9.3860499999999897E-7</v>
      </c>
      <c r="Z43" s="27" t="s">
        <v>1035</v>
      </c>
      <c r="CA43" s="13"/>
      <c r="CC43" t="s">
        <v>1901</v>
      </c>
      <c r="CP43" s="66"/>
      <c r="CQ43" s="27" t="s">
        <v>1909</v>
      </c>
      <c r="GD43" s="13"/>
      <c r="GE43" t="s">
        <v>2159</v>
      </c>
      <c r="GF43" s="70"/>
      <c r="GG43" s="70"/>
      <c r="GH43" s="70"/>
      <c r="GI43" s="70"/>
      <c r="GJ43" s="70"/>
      <c r="GK43" s="70"/>
      <c r="GL43" s="70"/>
      <c r="GM43" s="70"/>
      <c r="GN43" s="70"/>
      <c r="GO43" s="70"/>
      <c r="GP43" s="70"/>
      <c r="GQ43" s="70"/>
      <c r="GS43" s="27"/>
      <c r="GU43" s="13"/>
      <c r="GV43" t="s">
        <v>2299</v>
      </c>
      <c r="GX43" s="36" t="s">
        <v>2216</v>
      </c>
      <c r="GY43" s="25" t="s">
        <v>1778</v>
      </c>
      <c r="GZ43" s="28">
        <f>electricity_unit_price</f>
        <v>16.489999999999998</v>
      </c>
      <c r="HA43" s="25" t="s">
        <v>2254</v>
      </c>
      <c r="HB43" s="42">
        <v>43.471276400954203</v>
      </c>
      <c r="HC43" s="27" t="s">
        <v>2316</v>
      </c>
      <c r="HK43" s="13"/>
      <c r="HL43" s="2" t="s">
        <v>2359</v>
      </c>
      <c r="HR43" s="14"/>
      <c r="HT43" s="16"/>
      <c r="HU43" s="17"/>
      <c r="HV43" s="17"/>
      <c r="HW43" s="17"/>
      <c r="HX43" s="17"/>
      <c r="HY43" s="17"/>
      <c r="HZ43" s="17"/>
      <c r="IA43" s="18"/>
    </row>
    <row r="44" spans="14:235" ht="18" x14ac:dyDescent="0.35">
      <c r="N44" s="16"/>
      <c r="O44" s="17"/>
      <c r="P44" s="17"/>
      <c r="Q44" s="17"/>
      <c r="R44" s="17"/>
      <c r="S44" s="17"/>
      <c r="T44" s="17"/>
      <c r="U44" s="17"/>
      <c r="V44" s="17"/>
      <c r="W44" s="17"/>
      <c r="X44" s="17"/>
      <c r="Y44" s="17"/>
      <c r="Z44" s="18"/>
      <c r="CA44" s="13"/>
      <c r="CC44" s="2" t="s">
        <v>1902</v>
      </c>
      <c r="CQ44" s="14"/>
      <c r="GD44" s="13"/>
      <c r="GQ44" s="15" t="s">
        <v>2164</v>
      </c>
      <c r="GR44" s="70"/>
      <c r="GS44" s="27" t="s">
        <v>2156</v>
      </c>
      <c r="GU44" s="13"/>
      <c r="GV44" t="s">
        <v>2300</v>
      </c>
      <c r="HB44" s="42">
        <v>92</v>
      </c>
      <c r="HC44" s="27" t="s">
        <v>2317</v>
      </c>
      <c r="HK44" s="13"/>
      <c r="HL44" s="2" t="s">
        <v>2360</v>
      </c>
      <c r="HR44" s="14"/>
    </row>
    <row r="45" spans="14:235" x14ac:dyDescent="0.25">
      <c r="CA45" s="13"/>
      <c r="CC45" t="s">
        <v>1903</v>
      </c>
      <c r="CP45" s="66"/>
      <c r="CQ45" s="27" t="s">
        <v>2404</v>
      </c>
      <c r="GD45" s="13"/>
      <c r="GE45" t="s">
        <v>2138</v>
      </c>
      <c r="GS45" s="14"/>
      <c r="GU45" s="13"/>
      <c r="GV45" t="s">
        <v>2301</v>
      </c>
      <c r="GX45" t="s">
        <v>2307</v>
      </c>
      <c r="HC45" s="14"/>
      <c r="HK45" s="13"/>
      <c r="HL45" s="2" t="s">
        <v>2361</v>
      </c>
      <c r="HR45" s="14"/>
    </row>
    <row r="46" spans="14:235" ht="18" x14ac:dyDescent="0.35">
      <c r="CA46" s="13"/>
      <c r="CC46" t="s">
        <v>1898</v>
      </c>
      <c r="CP46" s="66"/>
      <c r="CQ46" s="27" t="s">
        <v>1910</v>
      </c>
      <c r="GD46" s="13"/>
      <c r="GE46" t="s">
        <v>2162</v>
      </c>
      <c r="GS46" s="14"/>
      <c r="GU46" s="13"/>
      <c r="GV46" t="s">
        <v>2302</v>
      </c>
      <c r="GX46" s="30" t="s">
        <v>2308</v>
      </c>
      <c r="GY46" s="25" t="s">
        <v>1778</v>
      </c>
      <c r="GZ46" s="8"/>
      <c r="HA46" s="25" t="s">
        <v>2254</v>
      </c>
      <c r="HB46" s="42">
        <v>0</v>
      </c>
      <c r="HC46" s="27" t="s">
        <v>2318</v>
      </c>
      <c r="HK46" s="16"/>
      <c r="HL46" s="17"/>
      <c r="HM46" s="17"/>
      <c r="HN46" s="17"/>
      <c r="HO46" s="17"/>
      <c r="HP46" s="17"/>
      <c r="HQ46" s="17"/>
      <c r="HR46" s="18"/>
    </row>
    <row r="47" spans="14:235" ht="18" x14ac:dyDescent="0.35">
      <c r="CA47" s="13"/>
      <c r="CC47" t="s">
        <v>1904</v>
      </c>
      <c r="CP47" s="66"/>
      <c r="CQ47" s="27" t="s">
        <v>1911</v>
      </c>
      <c r="GD47" s="13"/>
      <c r="GE47" t="s">
        <v>2160</v>
      </c>
      <c r="GF47" s="70"/>
      <c r="GG47" s="70"/>
      <c r="GH47" s="70"/>
      <c r="GI47" s="70"/>
      <c r="GJ47" s="70"/>
      <c r="GK47" s="70"/>
      <c r="GL47" s="70"/>
      <c r="GM47" s="70"/>
      <c r="GN47" s="70"/>
      <c r="GO47" s="70"/>
      <c r="GP47" s="70"/>
      <c r="GQ47" s="70"/>
      <c r="GS47" s="27"/>
      <c r="GU47" s="13"/>
      <c r="GV47" t="s">
        <v>2303</v>
      </c>
      <c r="GX47" t="s">
        <v>2309</v>
      </c>
      <c r="HC47" s="14"/>
    </row>
    <row r="48" spans="14:235" ht="18" x14ac:dyDescent="0.35">
      <c r="CA48" s="13"/>
      <c r="CB48" t="s">
        <v>1905</v>
      </c>
      <c r="CP48" s="40">
        <v>0</v>
      </c>
      <c r="CQ48" s="27" t="s">
        <v>1912</v>
      </c>
      <c r="GD48" s="13"/>
      <c r="GQ48" s="15" t="s">
        <v>2165</v>
      </c>
      <c r="GR48" s="70"/>
      <c r="GS48" s="27" t="s">
        <v>2155</v>
      </c>
      <c r="GU48" s="13"/>
      <c r="GV48" t="s">
        <v>2304</v>
      </c>
      <c r="GX48" s="30" t="s">
        <v>2310</v>
      </c>
      <c r="GY48" s="25" t="s">
        <v>1778</v>
      </c>
      <c r="GZ48" s="8"/>
      <c r="HA48" s="25" t="s">
        <v>2254</v>
      </c>
      <c r="HB48" s="71"/>
      <c r="HC48" s="27" t="s">
        <v>2319</v>
      </c>
    </row>
    <row r="49" spans="79:211" x14ac:dyDescent="0.25">
      <c r="CA49" s="13"/>
      <c r="CQ49" s="14"/>
      <c r="GD49" s="13"/>
      <c r="GE49" s="1" t="s">
        <v>2166</v>
      </c>
      <c r="GS49" s="14"/>
      <c r="GU49" s="13"/>
      <c r="GV49" t="s">
        <v>2305</v>
      </c>
      <c r="GX49" s="30" t="s">
        <v>2311</v>
      </c>
      <c r="GY49" s="25" t="s">
        <v>1778</v>
      </c>
      <c r="GZ49" s="8"/>
      <c r="HA49" s="25" t="s">
        <v>2254</v>
      </c>
      <c r="HB49" s="71"/>
      <c r="HC49" s="27" t="s">
        <v>2320</v>
      </c>
    </row>
    <row r="50" spans="79:211" ht="18" x14ac:dyDescent="0.35">
      <c r="CA50" s="13"/>
      <c r="CB50" t="s">
        <v>1913</v>
      </c>
      <c r="CQ50" s="14"/>
      <c r="GD50" s="13"/>
      <c r="GE50" t="s">
        <v>2167</v>
      </c>
      <c r="GS50" s="14"/>
      <c r="GU50" s="13"/>
      <c r="HC50" s="14"/>
    </row>
    <row r="51" spans="79:211" ht="18" x14ac:dyDescent="0.35">
      <c r="CA51" s="13"/>
      <c r="CB51" t="s">
        <v>1914</v>
      </c>
      <c r="CD51" s="40">
        <v>0</v>
      </c>
      <c r="CE51" s="40">
        <v>0</v>
      </c>
      <c r="CF51" s="40">
        <v>0</v>
      </c>
      <c r="CG51" s="40">
        <v>0</v>
      </c>
      <c r="CH51" s="40">
        <v>0</v>
      </c>
      <c r="CI51" s="40">
        <v>0</v>
      </c>
      <c r="CJ51" s="40">
        <v>0</v>
      </c>
      <c r="CK51" s="40">
        <v>0</v>
      </c>
      <c r="CL51" s="40">
        <v>0</v>
      </c>
      <c r="CM51" s="40">
        <v>0</v>
      </c>
      <c r="CN51" s="40">
        <v>0</v>
      </c>
      <c r="CO51" s="40">
        <v>0</v>
      </c>
      <c r="CQ51" s="27" t="s">
        <v>1915</v>
      </c>
      <c r="GD51" s="13"/>
      <c r="GF51" s="40">
        <f>value_64_1</f>
        <v>203.780481921438</v>
      </c>
      <c r="GG51" s="40">
        <f>value_64_2</f>
        <v>179.33992705644999</v>
      </c>
      <c r="GH51" s="40">
        <f>value_64_3</f>
        <v>189.55688144871101</v>
      </c>
      <c r="GI51" s="40">
        <f>value_64_4</f>
        <v>165.62011666523301</v>
      </c>
      <c r="GJ51" s="40">
        <f>value_64_5</f>
        <v>159.374509437287</v>
      </c>
      <c r="GK51" s="40">
        <f>value_64_6</f>
        <v>142.330072227199</v>
      </c>
      <c r="GL51" s="40">
        <f>value_64_7</f>
        <v>140.12449986461701</v>
      </c>
      <c r="GM51" s="40">
        <f>value_64_8</f>
        <v>146.921641928421</v>
      </c>
      <c r="GN51" s="40">
        <f>value_64_9</f>
        <v>149.70828628633001</v>
      </c>
      <c r="GO51" s="40">
        <f>value_64_10</f>
        <v>168.23541692483801</v>
      </c>
      <c r="GP51" s="40">
        <f>value_64_11</f>
        <v>180.00957562776799</v>
      </c>
      <c r="GQ51" s="40">
        <f>value_64_12</f>
        <v>201.58139355678799</v>
      </c>
      <c r="GS51" s="14"/>
      <c r="GU51" s="13"/>
      <c r="GV51" s="1" t="s">
        <v>2306</v>
      </c>
      <c r="HA51" s="15" t="s">
        <v>2312</v>
      </c>
      <c r="HB51" s="42">
        <v>282.61510743331399</v>
      </c>
      <c r="HC51" s="27" t="s">
        <v>2321</v>
      </c>
    </row>
    <row r="52" spans="79:211" x14ac:dyDescent="0.25">
      <c r="CA52" s="13"/>
      <c r="CQ52" s="14"/>
      <c r="GD52" s="13"/>
      <c r="GS52" s="14"/>
      <c r="GU52" s="16"/>
      <c r="GV52" s="17"/>
      <c r="GW52" s="17"/>
      <c r="GX52" s="17"/>
      <c r="GY52" s="17"/>
      <c r="GZ52" s="17"/>
      <c r="HA52" s="17"/>
      <c r="HB52" s="17"/>
      <c r="HC52" s="18"/>
    </row>
    <row r="53" spans="79:211" x14ac:dyDescent="0.25">
      <c r="CA53" s="13"/>
      <c r="CB53" t="s">
        <v>1916</v>
      </c>
      <c r="CQ53" s="14"/>
      <c r="GD53" s="13"/>
      <c r="GE53" t="s">
        <v>2168</v>
      </c>
      <c r="GS53" s="14"/>
    </row>
    <row r="54" spans="79:211" ht="18" x14ac:dyDescent="0.35">
      <c r="CA54" s="13"/>
      <c r="CD54" t="s">
        <v>1917</v>
      </c>
      <c r="CQ54" s="14"/>
      <c r="GD54" s="13"/>
      <c r="GE54" t="s">
        <v>2175</v>
      </c>
      <c r="GS54" s="14"/>
    </row>
    <row r="55" spans="79:211" x14ac:dyDescent="0.25">
      <c r="CA55" s="13"/>
      <c r="CB55" t="s">
        <v>1918</v>
      </c>
      <c r="CQ55" s="14"/>
      <c r="GD55" s="13"/>
      <c r="GE55" t="s">
        <v>2169</v>
      </c>
      <c r="GS55" s="14"/>
    </row>
    <row r="56" spans="79:211" ht="18" x14ac:dyDescent="0.35">
      <c r="CA56" s="13"/>
      <c r="CB56" t="s">
        <v>1919</v>
      </c>
      <c r="CD56" s="40">
        <v>0</v>
      </c>
      <c r="CE56" s="40">
        <v>0</v>
      </c>
      <c r="CF56" s="40">
        <v>0</v>
      </c>
      <c r="CG56" s="40">
        <v>0</v>
      </c>
      <c r="CH56" s="40">
        <v>0</v>
      </c>
      <c r="CI56" s="40">
        <v>0</v>
      </c>
      <c r="CJ56" s="40">
        <v>0</v>
      </c>
      <c r="CK56" s="40">
        <v>0</v>
      </c>
      <c r="CL56" s="40">
        <v>0</v>
      </c>
      <c r="CM56" s="40">
        <v>0</v>
      </c>
      <c r="CN56" s="40">
        <v>0</v>
      </c>
      <c r="CO56" s="40">
        <v>0</v>
      </c>
      <c r="CQ56" s="27" t="s">
        <v>1920</v>
      </c>
      <c r="GD56" s="13"/>
      <c r="GE56" t="s">
        <v>2174</v>
      </c>
      <c r="GS56" s="14"/>
    </row>
    <row r="57" spans="79:211" x14ac:dyDescent="0.25">
      <c r="CA57" s="13"/>
      <c r="CQ57" s="14"/>
      <c r="GD57" s="13"/>
      <c r="GE57" t="s">
        <v>2170</v>
      </c>
      <c r="GS57" s="14"/>
    </row>
    <row r="58" spans="79:211" x14ac:dyDescent="0.25">
      <c r="CA58" s="13"/>
      <c r="CB58" t="s">
        <v>1921</v>
      </c>
      <c r="CQ58" s="14"/>
      <c r="GD58" s="13"/>
      <c r="GE58" t="s">
        <v>2171</v>
      </c>
      <c r="GS58" s="14"/>
    </row>
    <row r="59" spans="79:211" ht="18" x14ac:dyDescent="0.35">
      <c r="CA59" s="13"/>
      <c r="CB59" s="2" t="s">
        <v>1922</v>
      </c>
      <c r="CQ59" s="14"/>
      <c r="GD59" s="13"/>
      <c r="GE59" t="s">
        <v>2173</v>
      </c>
      <c r="GS59" s="14"/>
    </row>
    <row r="60" spans="79:211" x14ac:dyDescent="0.25">
      <c r="CA60" s="13"/>
      <c r="CB60" s="2" t="s">
        <v>1923</v>
      </c>
      <c r="CQ60" s="14"/>
      <c r="GD60" s="13"/>
      <c r="GE60" t="s">
        <v>2172</v>
      </c>
      <c r="GS60" s="14"/>
    </row>
    <row r="61" spans="79:211" ht="18" x14ac:dyDescent="0.35">
      <c r="CA61" s="13"/>
      <c r="CB61" t="s">
        <v>1948</v>
      </c>
      <c r="CD61" s="40">
        <v>0</v>
      </c>
      <c r="CE61" s="40">
        <v>0</v>
      </c>
      <c r="CF61" s="40">
        <v>0</v>
      </c>
      <c r="CG61" s="40">
        <v>0</v>
      </c>
      <c r="CH61" s="40">
        <v>0</v>
      </c>
      <c r="CI61" s="40">
        <v>0</v>
      </c>
      <c r="CJ61" s="40">
        <v>0</v>
      </c>
      <c r="CK61" s="40">
        <v>0</v>
      </c>
      <c r="CL61" s="40">
        <v>0</v>
      </c>
      <c r="CM61" s="40">
        <v>0</v>
      </c>
      <c r="CN61" s="40">
        <v>0</v>
      </c>
      <c r="CO61" s="40">
        <v>0</v>
      </c>
      <c r="CQ61" s="27" t="s">
        <v>1942</v>
      </c>
      <c r="GD61" s="13"/>
      <c r="GE61" t="s">
        <v>2176</v>
      </c>
      <c r="GF61" s="40">
        <v>84</v>
      </c>
      <c r="GG61" s="40">
        <v>84</v>
      </c>
      <c r="GH61" s="40">
        <v>84</v>
      </c>
      <c r="GI61" s="40">
        <v>84</v>
      </c>
      <c r="GJ61" s="40">
        <v>84</v>
      </c>
      <c r="GK61" s="40">
        <v>84</v>
      </c>
      <c r="GL61" s="40">
        <v>84</v>
      </c>
      <c r="GM61" s="40">
        <v>84</v>
      </c>
      <c r="GN61" s="40">
        <v>84</v>
      </c>
      <c r="GO61" s="40">
        <v>84</v>
      </c>
      <c r="GP61" s="40">
        <v>84</v>
      </c>
      <c r="GQ61" s="40">
        <v>84</v>
      </c>
      <c r="GS61" s="27" t="s">
        <v>2177</v>
      </c>
    </row>
    <row r="62" spans="79:211" x14ac:dyDescent="0.25">
      <c r="CA62" s="13"/>
      <c r="CQ62" s="14"/>
      <c r="GD62" s="13"/>
      <c r="GE62" t="s">
        <v>2178</v>
      </c>
      <c r="GS62" s="14"/>
    </row>
    <row r="63" spans="79:211" ht="18" x14ac:dyDescent="0.35">
      <c r="CA63" s="13"/>
      <c r="CB63" t="s">
        <v>1949</v>
      </c>
      <c r="CQ63" s="14"/>
      <c r="GD63" s="13"/>
      <c r="GE63" t="s">
        <v>2179</v>
      </c>
      <c r="GS63" s="14"/>
    </row>
    <row r="64" spans="79:211" ht="18" x14ac:dyDescent="0.35">
      <c r="CA64" s="13"/>
      <c r="CB64" t="s">
        <v>1931</v>
      </c>
      <c r="CD64" s="40">
        <v>49.606882948232901</v>
      </c>
      <c r="CE64" s="40">
        <v>43.807899476456498</v>
      </c>
      <c r="CF64" s="40">
        <v>47.199444724413603</v>
      </c>
      <c r="CG64" s="40">
        <v>43.862114778664697</v>
      </c>
      <c r="CH64" s="40">
        <v>43.763510842901098</v>
      </c>
      <c r="CI64" s="40">
        <v>40.742687943372097</v>
      </c>
      <c r="CJ64" s="40">
        <v>41.539157003061803</v>
      </c>
      <c r="CK64" s="40">
        <v>42.836564423205402</v>
      </c>
      <c r="CL64" s="40">
        <v>42.768263362024598</v>
      </c>
      <c r="CM64" s="40">
        <v>45.929423498945802</v>
      </c>
      <c r="CN64" s="40">
        <v>46.287553912188997</v>
      </c>
      <c r="CO64" s="40">
        <v>49.497096395069299</v>
      </c>
      <c r="CQ64" s="27" t="s">
        <v>1943</v>
      </c>
      <c r="GD64" s="13"/>
      <c r="GE64" t="s">
        <v>2180</v>
      </c>
      <c r="GF64" s="40">
        <v>242.59581181123599</v>
      </c>
      <c r="GG64" s="40">
        <v>213.49991316244001</v>
      </c>
      <c r="GH64" s="40">
        <v>225.66295410560801</v>
      </c>
      <c r="GI64" s="40">
        <v>197.166805553849</v>
      </c>
      <c r="GJ64" s="40">
        <v>189.73155885391299</v>
      </c>
      <c r="GK64" s="40">
        <v>169.44056217523701</v>
      </c>
      <c r="GL64" s="40">
        <v>166.81488079121101</v>
      </c>
      <c r="GM64" s="40">
        <v>174.90671658145399</v>
      </c>
      <c r="GN64" s="40">
        <v>178.22415034087001</v>
      </c>
      <c r="GO64" s="40">
        <v>200.280258243855</v>
      </c>
      <c r="GP64" s="40">
        <v>214.29711384258101</v>
      </c>
      <c r="GQ64" s="40">
        <v>239.97784947236701</v>
      </c>
      <c r="GS64" s="14"/>
    </row>
    <row r="65" spans="79:201" ht="18" x14ac:dyDescent="0.35">
      <c r="CA65" s="13"/>
      <c r="CB65" t="s">
        <v>1953</v>
      </c>
      <c r="CQ65" s="14"/>
      <c r="GD65" s="13"/>
      <c r="GQ65" s="15" t="s">
        <v>2181</v>
      </c>
      <c r="GR65" s="40">
        <v>2412.59857493462</v>
      </c>
      <c r="GS65" s="27" t="s">
        <v>2182</v>
      </c>
    </row>
    <row r="66" spans="79:201" ht="18" x14ac:dyDescent="0.35">
      <c r="CA66" s="13"/>
      <c r="CB66" t="s">
        <v>1932</v>
      </c>
      <c r="CD66" s="40">
        <v>203.780481921438</v>
      </c>
      <c r="CE66" s="40">
        <v>179.33992705644999</v>
      </c>
      <c r="CF66" s="40">
        <v>189.55688144871101</v>
      </c>
      <c r="CG66" s="40">
        <v>165.62011666523301</v>
      </c>
      <c r="CH66" s="40">
        <v>159.374509437287</v>
      </c>
      <c r="CI66" s="40">
        <v>142.330072227199</v>
      </c>
      <c r="CJ66" s="40">
        <v>140.12449986461701</v>
      </c>
      <c r="CK66" s="40">
        <v>146.921641928421</v>
      </c>
      <c r="CL66" s="40">
        <v>149.70828628633001</v>
      </c>
      <c r="CM66" s="40">
        <v>168.23541692483801</v>
      </c>
      <c r="CN66" s="40">
        <v>180.00957562776799</v>
      </c>
      <c r="CO66" s="40">
        <v>201.58139355678799</v>
      </c>
      <c r="CQ66" s="27" t="s">
        <v>1944</v>
      </c>
      <c r="GD66" s="13"/>
      <c r="GE66" t="s">
        <v>2183</v>
      </c>
      <c r="GS66" s="14"/>
    </row>
    <row r="67" spans="79:201" x14ac:dyDescent="0.25">
      <c r="CA67" s="13"/>
      <c r="CB67" t="s">
        <v>1924</v>
      </c>
      <c r="CQ67" s="14"/>
      <c r="GD67" s="13"/>
      <c r="GS67" s="14"/>
    </row>
    <row r="68" spans="79:201" ht="18" x14ac:dyDescent="0.35">
      <c r="CA68" s="13"/>
      <c r="CB68" t="s">
        <v>1936</v>
      </c>
      <c r="CD68" s="40">
        <v>0</v>
      </c>
      <c r="CE68" s="40">
        <v>0</v>
      </c>
      <c r="CF68" s="40">
        <v>0</v>
      </c>
      <c r="CG68" s="40">
        <v>0</v>
      </c>
      <c r="CH68" s="40">
        <v>0</v>
      </c>
      <c r="CI68" s="40">
        <v>0</v>
      </c>
      <c r="CJ68" s="40">
        <v>0</v>
      </c>
      <c r="CK68" s="40">
        <v>0</v>
      </c>
      <c r="CL68" s="40">
        <v>0</v>
      </c>
      <c r="CM68" s="40">
        <v>0</v>
      </c>
      <c r="CN68" s="40">
        <v>0</v>
      </c>
      <c r="CO68" s="40">
        <v>0</v>
      </c>
      <c r="CQ68" s="27" t="s">
        <v>1945</v>
      </c>
      <c r="GD68" s="13"/>
      <c r="GE68" s="1" t="s">
        <v>2184</v>
      </c>
      <c r="GS68" s="14"/>
    </row>
    <row r="69" spans="79:201" x14ac:dyDescent="0.25">
      <c r="CA69" s="13"/>
      <c r="CB69" t="s">
        <v>1925</v>
      </c>
      <c r="CQ69" s="14"/>
      <c r="GD69" s="13"/>
      <c r="GE69" t="s">
        <v>2185</v>
      </c>
      <c r="GS69" s="14"/>
    </row>
    <row r="70" spans="79:201" ht="18" x14ac:dyDescent="0.35">
      <c r="CA70" s="13"/>
      <c r="CB70" t="s">
        <v>1937</v>
      </c>
      <c r="CD70" s="40">
        <v>0</v>
      </c>
      <c r="CE70" s="40">
        <v>0</v>
      </c>
      <c r="CF70" s="40">
        <v>0</v>
      </c>
      <c r="CG70" s="40">
        <v>0</v>
      </c>
      <c r="CH70" s="40">
        <v>0</v>
      </c>
      <c r="CI70" s="40">
        <v>0</v>
      </c>
      <c r="CJ70" s="40">
        <v>0</v>
      </c>
      <c r="CK70" s="40">
        <v>0</v>
      </c>
      <c r="CL70" s="40">
        <v>0</v>
      </c>
      <c r="CM70" s="40">
        <v>0</v>
      </c>
      <c r="CN70" s="40">
        <v>0</v>
      </c>
      <c r="CO70" s="40">
        <v>0</v>
      </c>
      <c r="CQ70" s="27" t="s">
        <v>1946</v>
      </c>
      <c r="GD70" s="13"/>
      <c r="GE70" t="s">
        <v>2186</v>
      </c>
      <c r="GF70" s="70"/>
      <c r="GG70" s="70"/>
      <c r="GH70" s="70"/>
      <c r="GI70" s="70"/>
      <c r="GJ70" s="70"/>
      <c r="GK70" s="70"/>
      <c r="GL70" s="70"/>
      <c r="GM70" s="70"/>
      <c r="GN70" s="70"/>
      <c r="GO70" s="70"/>
      <c r="GP70" s="70"/>
      <c r="GQ70" s="70"/>
      <c r="GS70" s="14"/>
    </row>
    <row r="71" spans="79:201" ht="18" x14ac:dyDescent="0.35">
      <c r="CA71" s="13"/>
      <c r="CB71" t="s">
        <v>1926</v>
      </c>
      <c r="CQ71" s="14"/>
      <c r="GD71" s="13"/>
      <c r="GQ71" s="15" t="s">
        <v>2187</v>
      </c>
      <c r="GR71" s="70"/>
      <c r="GS71" s="27" t="s">
        <v>2188</v>
      </c>
    </row>
    <row r="72" spans="79:201" ht="18" x14ac:dyDescent="0.35">
      <c r="CA72" s="13"/>
      <c r="CB72" t="s">
        <v>1938</v>
      </c>
      <c r="CD72" s="40">
        <v>0</v>
      </c>
      <c r="CE72" s="40">
        <v>0</v>
      </c>
      <c r="CF72" s="40">
        <v>0</v>
      </c>
      <c r="CG72" s="40">
        <v>0</v>
      </c>
      <c r="CH72" s="40">
        <v>0</v>
      </c>
      <c r="CI72" s="40">
        <v>0</v>
      </c>
      <c r="CJ72" s="40">
        <v>0</v>
      </c>
      <c r="CK72" s="40">
        <v>0</v>
      </c>
      <c r="CL72" s="40">
        <v>0</v>
      </c>
      <c r="CM72" s="40">
        <v>0</v>
      </c>
      <c r="CN72" s="40">
        <v>0</v>
      </c>
      <c r="CO72" s="40">
        <v>0</v>
      </c>
      <c r="CQ72" s="27" t="s">
        <v>1950</v>
      </c>
      <c r="GD72" s="13"/>
      <c r="GS72" s="14"/>
    </row>
    <row r="73" spans="79:201" x14ac:dyDescent="0.25">
      <c r="CA73" s="13"/>
      <c r="CB73" t="s">
        <v>1927</v>
      </c>
      <c r="CQ73" s="14"/>
      <c r="GD73" s="13"/>
      <c r="GE73" s="1" t="s">
        <v>2189</v>
      </c>
      <c r="GQ73" t="s">
        <v>2134</v>
      </c>
      <c r="GR73" t="s">
        <v>2134</v>
      </c>
      <c r="GS73" s="14"/>
    </row>
    <row r="74" spans="79:201" ht="18" x14ac:dyDescent="0.35">
      <c r="CA74" s="13"/>
      <c r="CB74" t="s">
        <v>1939</v>
      </c>
      <c r="CD74" s="40">
        <v>0</v>
      </c>
      <c r="CE74" s="40">
        <v>0</v>
      </c>
      <c r="CF74" s="40">
        <v>0</v>
      </c>
      <c r="CG74" s="40">
        <v>0</v>
      </c>
      <c r="CH74" s="40">
        <v>0</v>
      </c>
      <c r="CI74" s="40">
        <v>0</v>
      </c>
      <c r="CJ74" s="40">
        <v>0</v>
      </c>
      <c r="CK74" s="40">
        <v>0</v>
      </c>
      <c r="CL74" s="40">
        <v>0</v>
      </c>
      <c r="CM74" s="40">
        <v>0</v>
      </c>
      <c r="CN74" s="40">
        <v>0</v>
      </c>
      <c r="CO74" s="40">
        <v>0</v>
      </c>
      <c r="CQ74" s="27" t="s">
        <v>1951</v>
      </c>
      <c r="GD74" s="13"/>
      <c r="GE74" s="1" t="s">
        <v>2190</v>
      </c>
      <c r="GR74" s="40">
        <f>value_211</f>
        <v>1108.83909078956</v>
      </c>
      <c r="GS74" s="27" t="s">
        <v>2154</v>
      </c>
    </row>
    <row r="75" spans="79:201" ht="18" x14ac:dyDescent="0.35">
      <c r="CA75" s="13"/>
      <c r="CB75" t="s">
        <v>1954</v>
      </c>
      <c r="CQ75" s="14"/>
      <c r="GD75" s="13"/>
      <c r="GE75" s="1" t="s">
        <v>2191</v>
      </c>
      <c r="GR75" s="40">
        <f>value_213</f>
        <v>0</v>
      </c>
      <c r="GS75" s="27" t="s">
        <v>2156</v>
      </c>
    </row>
    <row r="76" spans="79:201" ht="18" x14ac:dyDescent="0.35">
      <c r="CA76" s="13"/>
      <c r="CB76" t="s">
        <v>1933</v>
      </c>
      <c r="CD76" s="40">
        <v>203.780481921438</v>
      </c>
      <c r="CE76" s="40">
        <v>179.33992705644999</v>
      </c>
      <c r="CF76" s="40">
        <v>189.55688144871101</v>
      </c>
      <c r="CG76" s="40">
        <v>165.62011666523301</v>
      </c>
      <c r="CH76" s="40">
        <v>159.374509437287</v>
      </c>
      <c r="CI76" s="40">
        <v>142.330072227199</v>
      </c>
      <c r="CJ76" s="40">
        <v>140.12449986461701</v>
      </c>
      <c r="CK76" s="40">
        <v>146.921641928421</v>
      </c>
      <c r="CL76" s="40">
        <v>149.70828628633001</v>
      </c>
      <c r="CM76" s="40">
        <v>168.23541692483801</v>
      </c>
      <c r="CN76" s="40">
        <v>180.00957562776799</v>
      </c>
      <c r="CO76" s="40">
        <v>201.58139355678799</v>
      </c>
      <c r="CQ76" s="14"/>
      <c r="GD76" s="13"/>
      <c r="GE76" s="1" t="s">
        <v>2192</v>
      </c>
      <c r="GR76" s="40">
        <f>value_215</f>
        <v>0</v>
      </c>
      <c r="GS76" s="27" t="s">
        <v>2155</v>
      </c>
    </row>
    <row r="77" spans="79:201" ht="18" x14ac:dyDescent="0.35">
      <c r="CA77" s="13"/>
      <c r="CO77" s="15" t="s">
        <v>1929</v>
      </c>
      <c r="CP77" s="28">
        <v>2026.5828029450799</v>
      </c>
      <c r="CQ77" s="27" t="s">
        <v>1947</v>
      </c>
      <c r="GD77" s="13"/>
      <c r="GE77" s="1" t="s">
        <v>2193</v>
      </c>
      <c r="GR77" s="40">
        <f>value_219</f>
        <v>2412.59857493462</v>
      </c>
      <c r="GS77" s="27" t="s">
        <v>2182</v>
      </c>
    </row>
    <row r="78" spans="79:201" ht="18" x14ac:dyDescent="0.35">
      <c r="CA78" s="13"/>
      <c r="CB78" t="s">
        <v>1955</v>
      </c>
      <c r="CQ78" s="14"/>
      <c r="GD78" s="13"/>
      <c r="GE78" s="1" t="s">
        <v>2194</v>
      </c>
      <c r="GR78" s="40">
        <f>value_64a</f>
        <v>0</v>
      </c>
      <c r="GS78" s="27" t="s">
        <v>1952</v>
      </c>
    </row>
    <row r="79" spans="79:201" x14ac:dyDescent="0.25">
      <c r="CA79" s="13"/>
      <c r="CB79" t="s">
        <v>1928</v>
      </c>
      <c r="CQ79" s="14"/>
      <c r="GD79" s="13"/>
      <c r="GE79" t="s">
        <v>2195</v>
      </c>
      <c r="GR79" s="40">
        <f>value_221</f>
        <v>0</v>
      </c>
      <c r="GS79" s="27" t="s">
        <v>2188</v>
      </c>
    </row>
    <row r="80" spans="79:201" ht="18" x14ac:dyDescent="0.35">
      <c r="CA80" s="13"/>
      <c r="CB80" t="s">
        <v>1940</v>
      </c>
      <c r="CD80" s="70"/>
      <c r="CE80" s="70"/>
      <c r="CF80" s="70"/>
      <c r="CG80" s="70"/>
      <c r="CH80" s="70"/>
      <c r="CI80" s="70"/>
      <c r="CJ80" s="70"/>
      <c r="CK80" s="70"/>
      <c r="CL80" s="70"/>
      <c r="CM80" s="70"/>
      <c r="CN80" s="70"/>
      <c r="CO80" s="70"/>
      <c r="CQ80" s="14"/>
      <c r="GD80" s="13"/>
      <c r="GE80" t="s">
        <v>2196</v>
      </c>
      <c r="GS80" s="14"/>
    </row>
    <row r="81" spans="79:201" ht="18" x14ac:dyDescent="0.35">
      <c r="CA81" s="13"/>
      <c r="CO81" s="15" t="s">
        <v>1956</v>
      </c>
      <c r="CP81" s="70"/>
      <c r="CQ81" s="27" t="s">
        <v>1952</v>
      </c>
      <c r="GD81" s="13"/>
      <c r="GE81" t="s">
        <v>2197</v>
      </c>
      <c r="GQ81" s="40">
        <v>0</v>
      </c>
      <c r="GS81" s="27" t="s">
        <v>2207</v>
      </c>
    </row>
    <row r="82" spans="79:201" ht="18" x14ac:dyDescent="0.35">
      <c r="CA82" s="13"/>
      <c r="CB82" t="s">
        <v>1957</v>
      </c>
      <c r="CQ82" s="14"/>
      <c r="GD82" s="13"/>
      <c r="GE82" t="s">
        <v>2198</v>
      </c>
      <c r="GQ82" s="40">
        <v>0</v>
      </c>
      <c r="GS82" s="27" t="s">
        <v>2208</v>
      </c>
    </row>
    <row r="83" spans="79:201" ht="18" x14ac:dyDescent="0.35">
      <c r="CA83" s="13"/>
      <c r="CB83" t="s">
        <v>1934</v>
      </c>
      <c r="CD83" s="40">
        <v>63.664442395648997</v>
      </c>
      <c r="CE83" s="40">
        <v>56.016374039462001</v>
      </c>
      <c r="CF83" s="40">
        <v>59.133708891932201</v>
      </c>
      <c r="CG83" s="40">
        <v>51.4500643219503</v>
      </c>
      <c r="CH83" s="40">
        <v>49.3815347433585</v>
      </c>
      <c r="CI83" s="40">
        <v>43.963477260215498</v>
      </c>
      <c r="CJ83" s="40">
        <v>43.164415752232699</v>
      </c>
      <c r="CK83" s="40">
        <v>45.317429376285602</v>
      </c>
      <c r="CL83" s="40">
        <v>46.249623462837903</v>
      </c>
      <c r="CM83" s="40">
        <v>52.149098688845797</v>
      </c>
      <c r="CN83" s="40">
        <v>56.034460698477403</v>
      </c>
      <c r="CO83" s="40">
        <v>62.942302905039</v>
      </c>
      <c r="CQ83" s="27" t="s">
        <v>1941</v>
      </c>
      <c r="GD83" s="13"/>
      <c r="GE83" t="s">
        <v>2199</v>
      </c>
      <c r="GQ83" s="40">
        <v>115</v>
      </c>
      <c r="GS83" s="27" t="s">
        <v>2209</v>
      </c>
    </row>
    <row r="84" spans="79:201" ht="18" x14ac:dyDescent="0.35">
      <c r="CA84" s="13"/>
      <c r="CC84" s="2" t="s">
        <v>1958</v>
      </c>
      <c r="CQ84" s="14"/>
      <c r="GD84" s="13"/>
      <c r="GE84" t="s">
        <v>2200</v>
      </c>
      <c r="GQ84" s="40">
        <v>0</v>
      </c>
      <c r="GS84" s="27" t="s">
        <v>2210</v>
      </c>
    </row>
    <row r="85" spans="79:201" x14ac:dyDescent="0.25">
      <c r="CA85" s="13"/>
      <c r="CC85" s="2" t="s">
        <v>1930</v>
      </c>
      <c r="CQ85" s="14"/>
      <c r="GD85" s="13"/>
      <c r="GE85" t="s">
        <v>2201</v>
      </c>
      <c r="GQ85" s="40">
        <v>0</v>
      </c>
      <c r="GS85" s="27" t="s">
        <v>2211</v>
      </c>
    </row>
    <row r="86" spans="79:201" x14ac:dyDescent="0.25">
      <c r="CA86" s="16"/>
      <c r="CB86" s="17"/>
      <c r="CC86" s="17"/>
      <c r="CD86" s="17"/>
      <c r="CE86" s="17"/>
      <c r="CF86" s="17"/>
      <c r="CG86" s="17"/>
      <c r="CH86" s="17"/>
      <c r="CI86" s="17"/>
      <c r="CJ86" s="17"/>
      <c r="CK86" s="17"/>
      <c r="CL86" s="17"/>
      <c r="CM86" s="17"/>
      <c r="CN86" s="17"/>
      <c r="CO86" s="17"/>
      <c r="CP86" s="17"/>
      <c r="CQ86" s="18"/>
      <c r="GD86" s="13"/>
      <c r="GE86" t="s">
        <v>2202</v>
      </c>
      <c r="GQ86" s="40">
        <v>0</v>
      </c>
      <c r="GS86" s="27" t="s">
        <v>2212</v>
      </c>
    </row>
    <row r="87" spans="79:201" x14ac:dyDescent="0.25">
      <c r="GD87" s="13"/>
      <c r="GE87" t="s">
        <v>2203</v>
      </c>
      <c r="GQ87" s="40">
        <v>0</v>
      </c>
      <c r="GS87" s="27" t="s">
        <v>2213</v>
      </c>
    </row>
    <row r="88" spans="79:201" x14ac:dyDescent="0.25">
      <c r="GD88" s="13"/>
      <c r="GE88" t="s">
        <v>2204</v>
      </c>
      <c r="GQ88" s="40">
        <v>0</v>
      </c>
      <c r="GS88" s="27" t="s">
        <v>2214</v>
      </c>
    </row>
    <row r="89" spans="79:201" x14ac:dyDescent="0.25">
      <c r="GD89" s="13"/>
      <c r="GE89" t="s">
        <v>2205</v>
      </c>
      <c r="GQ89" s="15" t="s">
        <v>2217</v>
      </c>
      <c r="GR89" s="40">
        <v>115</v>
      </c>
      <c r="GS89" s="27" t="s">
        <v>2215</v>
      </c>
    </row>
    <row r="90" spans="79:201" x14ac:dyDescent="0.25">
      <c r="GD90" s="13"/>
      <c r="GS90" s="14"/>
    </row>
    <row r="91" spans="79:201" x14ac:dyDescent="0.25">
      <c r="GD91" s="13"/>
      <c r="GE91" t="s">
        <v>2206</v>
      </c>
      <c r="GR91" s="40">
        <v>263.62205215860598</v>
      </c>
      <c r="GS91" s="27" t="s">
        <v>2216</v>
      </c>
    </row>
    <row r="92" spans="79:201" x14ac:dyDescent="0.25">
      <c r="GD92" s="13"/>
      <c r="GS92" s="14"/>
    </row>
    <row r="93" spans="79:201" x14ac:dyDescent="0.25">
      <c r="GD93" s="13"/>
      <c r="GE93" t="s">
        <v>2222</v>
      </c>
      <c r="GS93" s="14"/>
    </row>
    <row r="94" spans="79:201" x14ac:dyDescent="0.25">
      <c r="GD94" s="13"/>
      <c r="GE94" s="8" t="s">
        <v>1044</v>
      </c>
      <c r="GF94" s="8" t="s">
        <v>1045</v>
      </c>
      <c r="GG94" s="8" t="s">
        <v>1046</v>
      </c>
      <c r="GH94" s="8" t="s">
        <v>1047</v>
      </c>
      <c r="GI94" s="8" t="s">
        <v>1048</v>
      </c>
      <c r="GJ94" s="8" t="s">
        <v>1049</v>
      </c>
      <c r="GK94" s="8" t="s">
        <v>1050</v>
      </c>
      <c r="GL94" s="8" t="s">
        <v>1051</v>
      </c>
      <c r="GM94" s="8" t="s">
        <v>1052</v>
      </c>
      <c r="GN94" s="8" t="s">
        <v>1053</v>
      </c>
      <c r="GO94" s="8" t="s">
        <v>1054</v>
      </c>
      <c r="GP94" s="8" t="s">
        <v>1055</v>
      </c>
      <c r="GS94" s="14"/>
    </row>
    <row r="95" spans="79:201" x14ac:dyDescent="0.25">
      <c r="GD95" s="13"/>
      <c r="GE95" t="s">
        <v>2218</v>
      </c>
      <c r="GS95" s="14"/>
    </row>
    <row r="96" spans="79:201" x14ac:dyDescent="0.25">
      <c r="GD96" s="13"/>
      <c r="GE96" s="70"/>
      <c r="GF96" s="70"/>
      <c r="GG96" s="70"/>
      <c r="GH96" s="70"/>
      <c r="GI96" s="70"/>
      <c r="GJ96" s="70"/>
      <c r="GK96" s="70"/>
      <c r="GL96" s="70"/>
      <c r="GM96" s="70"/>
      <c r="GN96" s="70"/>
      <c r="GO96" s="70"/>
      <c r="GP96" s="70"/>
      <c r="GS96" s="14"/>
    </row>
    <row r="97" spans="186:201" x14ac:dyDescent="0.25">
      <c r="GD97" s="13"/>
      <c r="GQ97" s="70"/>
      <c r="GR97" s="35" t="s">
        <v>2223</v>
      </c>
      <c r="GS97" s="14"/>
    </row>
    <row r="98" spans="186:201" x14ac:dyDescent="0.25">
      <c r="GD98" s="13"/>
      <c r="GE98" t="s">
        <v>2219</v>
      </c>
      <c r="GS98" s="14"/>
    </row>
    <row r="99" spans="186:201" x14ac:dyDescent="0.25">
      <c r="GD99" s="13"/>
      <c r="GE99" s="70"/>
      <c r="GF99" s="70"/>
      <c r="GG99" s="70"/>
      <c r="GH99" s="70"/>
      <c r="GI99" s="70"/>
      <c r="GJ99" s="70"/>
      <c r="GK99" s="70"/>
      <c r="GL99" s="70"/>
      <c r="GM99" s="70"/>
      <c r="GN99" s="70"/>
      <c r="GO99" s="70"/>
      <c r="GP99" s="70"/>
      <c r="GS99" s="14"/>
    </row>
    <row r="100" spans="186:201" x14ac:dyDescent="0.25">
      <c r="GD100" s="13"/>
      <c r="GQ100" s="70"/>
      <c r="GR100" s="35" t="s">
        <v>2224</v>
      </c>
      <c r="GS100" s="14"/>
    </row>
    <row r="101" spans="186:201" x14ac:dyDescent="0.25">
      <c r="GD101" s="13"/>
      <c r="GE101" t="s">
        <v>2220</v>
      </c>
      <c r="GS101" s="14"/>
    </row>
    <row r="102" spans="186:201" x14ac:dyDescent="0.25">
      <c r="GD102" s="13"/>
      <c r="GE102" s="70"/>
      <c r="GF102" s="70"/>
      <c r="GG102" s="70"/>
      <c r="GH102" s="70"/>
      <c r="GI102" s="70"/>
      <c r="GJ102" s="70"/>
      <c r="GK102" s="70"/>
      <c r="GL102" s="70"/>
      <c r="GM102" s="70"/>
      <c r="GN102" s="70"/>
      <c r="GO102" s="70"/>
      <c r="GP102" s="70"/>
      <c r="GS102" s="14"/>
    </row>
    <row r="103" spans="186:201" x14ac:dyDescent="0.25">
      <c r="GD103" s="13"/>
      <c r="GQ103" s="70"/>
      <c r="GR103" s="35" t="s">
        <v>2225</v>
      </c>
      <c r="GS103" s="14"/>
    </row>
    <row r="104" spans="186:201" x14ac:dyDescent="0.25">
      <c r="GD104" s="13"/>
      <c r="GE104" t="s">
        <v>2221</v>
      </c>
      <c r="GS104" s="14"/>
    </row>
    <row r="105" spans="186:201" x14ac:dyDescent="0.25">
      <c r="GD105" s="13"/>
      <c r="GE105" s="70"/>
      <c r="GF105" s="70"/>
      <c r="GG105" s="70"/>
      <c r="GH105" s="70"/>
      <c r="GI105" s="70"/>
      <c r="GJ105" s="70"/>
      <c r="GK105" s="70"/>
      <c r="GL105" s="70"/>
      <c r="GM105" s="70"/>
      <c r="GN105" s="70"/>
      <c r="GO105" s="70"/>
      <c r="GP105" s="70"/>
      <c r="GS105" s="14"/>
    </row>
    <row r="106" spans="186:201" x14ac:dyDescent="0.25">
      <c r="GD106" s="13"/>
      <c r="GQ106" s="70"/>
      <c r="GR106" s="35" t="s">
        <v>2226</v>
      </c>
      <c r="GS106" s="14"/>
    </row>
    <row r="107" spans="186:201" x14ac:dyDescent="0.25">
      <c r="GD107" s="13"/>
      <c r="GE107" t="s">
        <v>2227</v>
      </c>
      <c r="GS107" s="14"/>
    </row>
    <row r="108" spans="186:201" x14ac:dyDescent="0.25">
      <c r="GD108" s="13"/>
      <c r="GE108" s="8" t="s">
        <v>1044</v>
      </c>
      <c r="GF108" s="8" t="s">
        <v>1045</v>
      </c>
      <c r="GG108" s="8" t="s">
        <v>1046</v>
      </c>
      <c r="GH108" s="8" t="s">
        <v>1047</v>
      </c>
      <c r="GI108" s="8" t="s">
        <v>1048</v>
      </c>
      <c r="GJ108" s="8" t="s">
        <v>1049</v>
      </c>
      <c r="GK108" s="8" t="s">
        <v>1050</v>
      </c>
      <c r="GL108" s="8" t="s">
        <v>1051</v>
      </c>
      <c r="GM108" s="8" t="s">
        <v>1052</v>
      </c>
      <c r="GN108" s="8" t="s">
        <v>1053</v>
      </c>
      <c r="GO108" s="8" t="s">
        <v>1054</v>
      </c>
      <c r="GP108" s="8" t="s">
        <v>1055</v>
      </c>
      <c r="GS108" s="14"/>
    </row>
    <row r="109" spans="186:201" x14ac:dyDescent="0.25">
      <c r="GD109" s="13"/>
      <c r="GE109" t="s">
        <v>2218</v>
      </c>
      <c r="GS109" s="14"/>
    </row>
    <row r="110" spans="186:201" x14ac:dyDescent="0.25">
      <c r="GD110" s="13"/>
      <c r="GE110" s="70"/>
      <c r="GF110" s="70"/>
      <c r="GG110" s="70"/>
      <c r="GH110" s="70"/>
      <c r="GI110" s="70"/>
      <c r="GJ110" s="70"/>
      <c r="GK110" s="70"/>
      <c r="GL110" s="70"/>
      <c r="GM110" s="70"/>
      <c r="GN110" s="70"/>
      <c r="GO110" s="70"/>
      <c r="GP110" s="70"/>
      <c r="GS110" s="14"/>
    </row>
    <row r="111" spans="186:201" x14ac:dyDescent="0.25">
      <c r="GD111" s="13"/>
      <c r="GQ111" s="70"/>
      <c r="GR111" s="35" t="s">
        <v>2228</v>
      </c>
      <c r="GS111" s="14"/>
    </row>
    <row r="112" spans="186:201" x14ac:dyDescent="0.25">
      <c r="GD112" s="13"/>
      <c r="GE112" t="s">
        <v>2219</v>
      </c>
      <c r="GS112" s="14"/>
    </row>
    <row r="113" spans="186:201" x14ac:dyDescent="0.25">
      <c r="GD113" s="13"/>
      <c r="GE113" s="70"/>
      <c r="GF113" s="70"/>
      <c r="GG113" s="70"/>
      <c r="GH113" s="70"/>
      <c r="GI113" s="70"/>
      <c r="GJ113" s="70"/>
      <c r="GK113" s="70"/>
      <c r="GL113" s="70"/>
      <c r="GM113" s="70"/>
      <c r="GN113" s="70"/>
      <c r="GO113" s="70"/>
      <c r="GP113" s="70"/>
      <c r="GS113" s="14"/>
    </row>
    <row r="114" spans="186:201" x14ac:dyDescent="0.25">
      <c r="GD114" s="13"/>
      <c r="GQ114" s="70"/>
      <c r="GR114" s="35" t="s">
        <v>2229</v>
      </c>
      <c r="GS114" s="14"/>
    </row>
    <row r="115" spans="186:201" x14ac:dyDescent="0.25">
      <c r="GD115" s="13"/>
      <c r="GE115" t="s">
        <v>2220</v>
      </c>
      <c r="GS115" s="14"/>
    </row>
    <row r="116" spans="186:201" x14ac:dyDescent="0.25">
      <c r="GD116" s="13"/>
      <c r="GE116" s="70"/>
      <c r="GF116" s="70"/>
      <c r="GG116" s="70"/>
      <c r="GH116" s="70"/>
      <c r="GI116" s="70"/>
      <c r="GJ116" s="70"/>
      <c r="GK116" s="70"/>
      <c r="GL116" s="70"/>
      <c r="GM116" s="70"/>
      <c r="GN116" s="70"/>
      <c r="GO116" s="70"/>
      <c r="GP116" s="70"/>
      <c r="GS116" s="14"/>
    </row>
    <row r="117" spans="186:201" x14ac:dyDescent="0.25">
      <c r="GD117" s="13"/>
      <c r="GQ117" s="70"/>
      <c r="GR117" s="35" t="s">
        <v>2230</v>
      </c>
      <c r="GS117" s="14"/>
    </row>
    <row r="118" spans="186:201" x14ac:dyDescent="0.25">
      <c r="GD118" s="13"/>
      <c r="GE118" t="s">
        <v>2221</v>
      </c>
      <c r="GS118" s="14"/>
    </row>
    <row r="119" spans="186:201" x14ac:dyDescent="0.25">
      <c r="GD119" s="13"/>
      <c r="GE119" s="70"/>
      <c r="GF119" s="70"/>
      <c r="GG119" s="70"/>
      <c r="GH119" s="70"/>
      <c r="GI119" s="70"/>
      <c r="GJ119" s="70"/>
      <c r="GK119" s="70"/>
      <c r="GL119" s="70"/>
      <c r="GM119" s="70"/>
      <c r="GN119" s="70"/>
      <c r="GO119" s="70"/>
      <c r="GP119" s="70"/>
      <c r="GS119" s="14"/>
    </row>
    <row r="120" spans="186:201" x14ac:dyDescent="0.25">
      <c r="GD120" s="13"/>
      <c r="GQ120" s="70"/>
      <c r="GR120" s="35" t="s">
        <v>2231</v>
      </c>
      <c r="GS120" s="14"/>
    </row>
    <row r="121" spans="186:201" x14ac:dyDescent="0.25">
      <c r="GD121" s="13"/>
      <c r="GS121" s="14"/>
    </row>
    <row r="122" spans="186:201" x14ac:dyDescent="0.25">
      <c r="GD122" s="13"/>
      <c r="GE122" t="s">
        <v>2232</v>
      </c>
      <c r="GP122" s="6" t="s">
        <v>2239</v>
      </c>
      <c r="GQ122" s="6" t="s">
        <v>2134</v>
      </c>
      <c r="GS122" s="14"/>
    </row>
    <row r="123" spans="186:201" x14ac:dyDescent="0.25">
      <c r="GD123" s="13"/>
      <c r="GE123" t="s">
        <v>2233</v>
      </c>
      <c r="GS123" s="14"/>
    </row>
    <row r="124" spans="186:201" x14ac:dyDescent="0.25">
      <c r="GD124" s="13"/>
      <c r="GE124" t="s">
        <v>2235</v>
      </c>
      <c r="GP124" s="41"/>
      <c r="GQ124" s="41"/>
      <c r="GR124" s="35" t="s">
        <v>2240</v>
      </c>
      <c r="GS124" s="14"/>
    </row>
    <row r="125" spans="186:201" x14ac:dyDescent="0.25">
      <c r="GD125" s="13"/>
      <c r="GE125" t="s">
        <v>2236</v>
      </c>
      <c r="GP125" s="41"/>
      <c r="GQ125" s="41"/>
      <c r="GR125" s="35" t="s">
        <v>2241</v>
      </c>
      <c r="GS125" s="14"/>
    </row>
    <row r="126" spans="186:201" x14ac:dyDescent="0.25">
      <c r="GD126" s="13"/>
      <c r="GS126" s="14"/>
    </row>
    <row r="127" spans="186:201" x14ac:dyDescent="0.25">
      <c r="GD127" s="13"/>
      <c r="GE127" t="s">
        <v>2234</v>
      </c>
      <c r="GS127" s="14"/>
    </row>
    <row r="128" spans="186:201" x14ac:dyDescent="0.25">
      <c r="GD128" s="13"/>
      <c r="GE128" t="s">
        <v>2235</v>
      </c>
      <c r="GP128" s="41"/>
      <c r="GQ128" s="41"/>
      <c r="GR128" s="35" t="s">
        <v>2242</v>
      </c>
      <c r="GS128" s="14"/>
    </row>
    <row r="129" spans="186:201" x14ac:dyDescent="0.25">
      <c r="GD129" s="13"/>
      <c r="GE129" t="s">
        <v>2236</v>
      </c>
      <c r="GP129" s="41"/>
      <c r="GQ129" s="41"/>
      <c r="GR129" s="35" t="s">
        <v>2243</v>
      </c>
      <c r="GS129" s="14"/>
    </row>
    <row r="130" spans="186:201" x14ac:dyDescent="0.25">
      <c r="GD130" s="13"/>
      <c r="GE130" t="s">
        <v>2237</v>
      </c>
      <c r="GS130" s="14"/>
    </row>
    <row r="131" spans="186:201" x14ac:dyDescent="0.25">
      <c r="GD131" s="13"/>
      <c r="GE131" t="s">
        <v>2238</v>
      </c>
      <c r="GP131" s="15" t="s">
        <v>2245</v>
      </c>
      <c r="GQ131" s="40">
        <v>3900.0597178828002</v>
      </c>
      <c r="GR131" s="35" t="s">
        <v>2244</v>
      </c>
      <c r="GS131" s="14"/>
    </row>
    <row r="132" spans="186:201" x14ac:dyDescent="0.25">
      <c r="GD132" s="16"/>
      <c r="GE132" s="17"/>
      <c r="GF132" s="17"/>
      <c r="GG132" s="17"/>
      <c r="GH132" s="17"/>
      <c r="GI132" s="17"/>
      <c r="GJ132" s="17"/>
      <c r="GK132" s="17"/>
      <c r="GL132" s="17"/>
      <c r="GM132" s="17"/>
      <c r="GN132" s="17"/>
      <c r="GO132" s="17"/>
      <c r="GP132" s="17"/>
      <c r="GQ132" s="17"/>
      <c r="GR132" s="17"/>
      <c r="GS132" s="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C05F-F3DB-4419-B04D-E1C166349A97}">
  <sheetPr codeName="Sheet2"/>
  <dimension ref="A1:A7"/>
  <sheetViews>
    <sheetView showGridLines="0" workbookViewId="0"/>
  </sheetViews>
  <sheetFormatPr defaultRowHeight="15" x14ac:dyDescent="0.25"/>
  <cols>
    <col min="1" max="1" width="128.28515625" customWidth="1"/>
  </cols>
  <sheetData>
    <row r="1" spans="1:1" ht="18.75" x14ac:dyDescent="0.3">
      <c r="A1" s="19" t="s">
        <v>2462</v>
      </c>
    </row>
    <row r="3" spans="1:1" x14ac:dyDescent="0.25">
      <c r="A3" s="5" t="s">
        <v>2473</v>
      </c>
    </row>
    <row r="4" spans="1:1" x14ac:dyDescent="0.25">
      <c r="A4" s="54"/>
    </row>
    <row r="6" spans="1:1" x14ac:dyDescent="0.25">
      <c r="A6" t="s">
        <v>908</v>
      </c>
    </row>
    <row r="7" spans="1:1" x14ac:dyDescent="0.25">
      <c r="A7" s="4" t="s">
        <v>907</v>
      </c>
    </row>
  </sheetData>
  <hyperlinks>
    <hyperlink ref="A7" r:id="rId1" location="section/Authorization" xr:uid="{64742AD4-2F7A-4D55-9F3A-E6A36817E6C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0777-E874-427C-91CC-640120DC8D44}">
  <sheetPr codeName="Sheet8"/>
  <dimension ref="A1:DE608"/>
  <sheetViews>
    <sheetView workbookViewId="0">
      <pane ySplit="1" topLeftCell="A2" activePane="bottomLeft" state="frozen"/>
      <selection pane="bottomLeft" activeCell="A2" sqref="A2"/>
    </sheetView>
  </sheetViews>
  <sheetFormatPr defaultRowHeight="15" x14ac:dyDescent="0.25"/>
  <cols>
    <col min="1" max="1" width="53.5703125" bestFit="1" customWidth="1"/>
    <col min="2" max="2" width="33.5703125" bestFit="1" customWidth="1"/>
    <col min="3" max="3" width="31.7109375" bestFit="1" customWidth="1"/>
    <col min="4" max="5" width="13.85546875" bestFit="1" customWidth="1"/>
    <col min="6" max="6" width="11.28515625" bestFit="1" customWidth="1"/>
    <col min="7" max="7" width="11.5703125" bestFit="1" customWidth="1"/>
    <col min="8" max="8" width="81.140625" bestFit="1" customWidth="1"/>
    <col min="9" max="9" width="16.7109375" bestFit="1" customWidth="1"/>
    <col min="10" max="10" width="80.28515625" bestFit="1" customWidth="1"/>
    <col min="11" max="11" width="76.28515625" bestFit="1" customWidth="1"/>
    <col min="12" max="12" width="77.28515625" bestFit="1" customWidth="1"/>
    <col min="13" max="13" width="76.42578125" bestFit="1" customWidth="1"/>
    <col min="14" max="15" width="76.140625" bestFit="1" customWidth="1"/>
    <col min="16" max="17" width="76.42578125" bestFit="1" customWidth="1"/>
    <col min="18" max="18" width="81.140625" bestFit="1" customWidth="1"/>
    <col min="19" max="19" width="80" bestFit="1" customWidth="1"/>
    <col min="20" max="20" width="76.28515625" bestFit="1" customWidth="1"/>
    <col min="21" max="21" width="81.140625" bestFit="1" customWidth="1"/>
    <col min="22" max="22" width="46.7109375" bestFit="1" customWidth="1"/>
    <col min="23" max="23" width="54.7109375" bestFit="1" customWidth="1"/>
    <col min="24" max="24" width="60.85546875" bestFit="1" customWidth="1"/>
    <col min="25" max="25" width="54.28515625" bestFit="1" customWidth="1"/>
    <col min="26" max="26" width="52.28515625" bestFit="1" customWidth="1"/>
    <col min="27" max="28" width="57.5703125" bestFit="1" customWidth="1"/>
    <col min="29" max="29" width="65.42578125" bestFit="1" customWidth="1"/>
    <col min="30" max="30" width="56.7109375" bestFit="1" customWidth="1"/>
    <col min="31" max="31" width="55" bestFit="1" customWidth="1"/>
    <col min="32" max="32" width="60" bestFit="1" customWidth="1"/>
    <col min="33" max="33" width="78.140625" bestFit="1" customWidth="1"/>
    <col min="34" max="34" width="67.42578125" bestFit="1" customWidth="1"/>
    <col min="35" max="35" width="58.7109375" bestFit="1" customWidth="1"/>
    <col min="36" max="36" width="66.5703125" bestFit="1" customWidth="1"/>
    <col min="37" max="37" width="72.85546875" bestFit="1" customWidth="1"/>
    <col min="38" max="38" width="54.85546875" bestFit="1" customWidth="1"/>
    <col min="39" max="39" width="57" bestFit="1" customWidth="1"/>
    <col min="40" max="40" width="43.140625" bestFit="1" customWidth="1"/>
    <col min="41" max="41" width="44.7109375" bestFit="1" customWidth="1"/>
    <col min="42" max="42" width="45.28515625" bestFit="1" customWidth="1"/>
    <col min="43" max="43" width="80.28515625" bestFit="1" customWidth="1"/>
    <col min="44" max="44" width="81.140625" bestFit="1" customWidth="1"/>
    <col min="45" max="45" width="60.85546875" bestFit="1" customWidth="1"/>
    <col min="46" max="46" width="51.140625" bestFit="1" customWidth="1"/>
    <col min="47" max="47" width="43.28515625" bestFit="1" customWidth="1"/>
    <col min="48" max="48" width="42.85546875" bestFit="1" customWidth="1"/>
    <col min="49" max="49" width="50.140625" bestFit="1" customWidth="1"/>
    <col min="50" max="50" width="52.140625" bestFit="1" customWidth="1"/>
    <col min="51" max="51" width="37.7109375" bestFit="1" customWidth="1"/>
    <col min="52" max="52" width="26.5703125" bestFit="1" customWidth="1"/>
    <col min="53" max="53" width="40.85546875" bestFit="1" customWidth="1"/>
    <col min="54" max="54" width="33.42578125" bestFit="1" customWidth="1"/>
    <col min="55" max="55" width="18.85546875" bestFit="1" customWidth="1"/>
    <col min="56" max="56" width="34.140625" bestFit="1" customWidth="1"/>
    <col min="57" max="57" width="39.85546875" bestFit="1" customWidth="1"/>
    <col min="58" max="58" width="54.140625" bestFit="1" customWidth="1"/>
    <col min="59" max="59" width="33" bestFit="1" customWidth="1"/>
    <col min="60" max="60" width="54.7109375" bestFit="1" customWidth="1"/>
    <col min="61" max="61" width="13.7109375" bestFit="1" customWidth="1"/>
    <col min="62" max="62" width="60.42578125" bestFit="1" customWidth="1"/>
    <col min="63" max="63" width="45.28515625" bestFit="1" customWidth="1"/>
    <col min="64" max="109" width="8.140625" bestFit="1" customWidth="1"/>
  </cols>
  <sheetData>
    <row r="1" spans="1:109" x14ac:dyDescent="0.25">
      <c r="A1" t="s">
        <v>2474</v>
      </c>
      <c r="B1" t="s">
        <v>2475</v>
      </c>
      <c r="C1" t="s">
        <v>2476</v>
      </c>
      <c r="D1" t="s">
        <v>23</v>
      </c>
      <c r="E1" t="s">
        <v>24</v>
      </c>
      <c r="F1" t="s">
        <v>25</v>
      </c>
      <c r="G1" t="s">
        <v>26</v>
      </c>
      <c r="H1" t="s">
        <v>27</v>
      </c>
      <c r="I1" t="s">
        <v>1084</v>
      </c>
      <c r="J1" t="s">
        <v>1085</v>
      </c>
      <c r="K1" t="s">
        <v>1086</v>
      </c>
      <c r="L1" t="s">
        <v>1087</v>
      </c>
      <c r="M1" t="s">
        <v>1088</v>
      </c>
      <c r="N1" t="s">
        <v>1089</v>
      </c>
      <c r="O1" t="s">
        <v>1090</v>
      </c>
      <c r="P1" t="s">
        <v>1091</v>
      </c>
      <c r="Q1" t="s">
        <v>1092</v>
      </c>
      <c r="R1" t="s">
        <v>1093</v>
      </c>
      <c r="S1" t="s">
        <v>1094</v>
      </c>
      <c r="T1" t="s">
        <v>1095</v>
      </c>
      <c r="U1" t="s">
        <v>1096</v>
      </c>
      <c r="V1" t="s">
        <v>1097</v>
      </c>
      <c r="W1" t="s">
        <v>1098</v>
      </c>
      <c r="X1" t="s">
        <v>1099</v>
      </c>
      <c r="Y1" t="s">
        <v>1100</v>
      </c>
      <c r="Z1" t="s">
        <v>1101</v>
      </c>
      <c r="AA1" t="s">
        <v>1102</v>
      </c>
      <c r="AB1" t="s">
        <v>1103</v>
      </c>
      <c r="AC1" t="s">
        <v>1104</v>
      </c>
      <c r="AD1" t="s">
        <v>1105</v>
      </c>
      <c r="AE1" t="s">
        <v>1106</v>
      </c>
      <c r="AF1" t="s">
        <v>1107</v>
      </c>
      <c r="AG1" t="s">
        <v>1108</v>
      </c>
      <c r="AH1" t="s">
        <v>1109</v>
      </c>
      <c r="AI1" t="s">
        <v>1110</v>
      </c>
      <c r="AJ1" t="s">
        <v>1111</v>
      </c>
      <c r="AK1" t="s">
        <v>1112</v>
      </c>
      <c r="AL1" t="s">
        <v>1113</v>
      </c>
      <c r="AM1" t="s">
        <v>1114</v>
      </c>
      <c r="AN1" t="s">
        <v>1115</v>
      </c>
      <c r="AO1" t="s">
        <v>1116</v>
      </c>
      <c r="AP1" t="s">
        <v>1117</v>
      </c>
      <c r="AQ1" t="s">
        <v>1118</v>
      </c>
      <c r="AR1" t="s">
        <v>1119</v>
      </c>
      <c r="AS1" t="s">
        <v>1120</v>
      </c>
      <c r="AT1" t="s">
        <v>1121</v>
      </c>
      <c r="AU1" t="s">
        <v>1122</v>
      </c>
      <c r="AV1" t="s">
        <v>1123</v>
      </c>
      <c r="AW1" t="s">
        <v>1124</v>
      </c>
      <c r="AX1" t="s">
        <v>1125</v>
      </c>
      <c r="AY1" t="s">
        <v>1126</v>
      </c>
      <c r="AZ1" t="s">
        <v>1127</v>
      </c>
      <c r="BA1" t="s">
        <v>1128</v>
      </c>
      <c r="BB1" t="s">
        <v>1129</v>
      </c>
      <c r="BC1" t="s">
        <v>1130</v>
      </c>
      <c r="BD1" t="s">
        <v>1131</v>
      </c>
      <c r="BE1" t="s">
        <v>1132</v>
      </c>
      <c r="BF1" t="s">
        <v>1133</v>
      </c>
      <c r="BG1" t="s">
        <v>1134</v>
      </c>
      <c r="BH1" t="s">
        <v>1135</v>
      </c>
      <c r="BI1" t="s">
        <v>1136</v>
      </c>
      <c r="BJ1" t="s">
        <v>1137</v>
      </c>
      <c r="BK1" t="s">
        <v>1138</v>
      </c>
      <c r="BL1" t="s">
        <v>1139</v>
      </c>
      <c r="BM1" t="s">
        <v>1140</v>
      </c>
      <c r="BN1" t="s">
        <v>1141</v>
      </c>
      <c r="BO1" t="s">
        <v>1142</v>
      </c>
      <c r="BP1" t="s">
        <v>1143</v>
      </c>
      <c r="BQ1" t="s">
        <v>1144</v>
      </c>
      <c r="BR1" t="s">
        <v>1145</v>
      </c>
      <c r="BS1" t="s">
        <v>1146</v>
      </c>
      <c r="BT1" t="s">
        <v>1147</v>
      </c>
      <c r="BU1" t="s">
        <v>1148</v>
      </c>
      <c r="BV1" t="s">
        <v>1149</v>
      </c>
      <c r="BW1" t="s">
        <v>1150</v>
      </c>
      <c r="BX1" t="s">
        <v>1151</v>
      </c>
      <c r="BY1" t="s">
        <v>1152</v>
      </c>
      <c r="BZ1" t="s">
        <v>1153</v>
      </c>
      <c r="CA1" t="s">
        <v>1154</v>
      </c>
      <c r="CB1" t="s">
        <v>1155</v>
      </c>
      <c r="CC1" t="s">
        <v>1156</v>
      </c>
      <c r="CD1" t="s">
        <v>1157</v>
      </c>
      <c r="CE1" t="s">
        <v>1158</v>
      </c>
      <c r="CF1" t="s">
        <v>1159</v>
      </c>
      <c r="CG1" t="s">
        <v>1160</v>
      </c>
      <c r="CH1" t="s">
        <v>1161</v>
      </c>
      <c r="CI1" t="s">
        <v>1162</v>
      </c>
      <c r="CJ1" t="s">
        <v>1163</v>
      </c>
      <c r="CK1" t="s">
        <v>1164</v>
      </c>
      <c r="CL1" t="s">
        <v>1165</v>
      </c>
      <c r="CM1" t="s">
        <v>1166</v>
      </c>
      <c r="CN1" t="s">
        <v>1167</v>
      </c>
      <c r="CO1" t="s">
        <v>1168</v>
      </c>
      <c r="CP1" t="s">
        <v>1169</v>
      </c>
      <c r="CQ1" t="s">
        <v>1170</v>
      </c>
      <c r="CR1" t="s">
        <v>1171</v>
      </c>
      <c r="CS1" t="s">
        <v>1172</v>
      </c>
      <c r="CT1" t="s">
        <v>1173</v>
      </c>
      <c r="CU1" t="s">
        <v>1174</v>
      </c>
      <c r="CV1" t="s">
        <v>1175</v>
      </c>
      <c r="CW1" t="s">
        <v>1176</v>
      </c>
      <c r="CX1" t="s">
        <v>1177</v>
      </c>
      <c r="CY1" t="s">
        <v>1178</v>
      </c>
      <c r="CZ1" t="s">
        <v>1179</v>
      </c>
      <c r="DA1" t="s">
        <v>1180</v>
      </c>
      <c r="DB1" t="s">
        <v>1181</v>
      </c>
      <c r="DC1" t="s">
        <v>1182</v>
      </c>
      <c r="DD1" t="s">
        <v>1183</v>
      </c>
      <c r="DE1" t="s">
        <v>1184</v>
      </c>
    </row>
    <row r="2" spans="1:109" x14ac:dyDescent="0.25">
      <c r="A2" t="s">
        <v>28</v>
      </c>
      <c r="D2" t="b">
        <v>0</v>
      </c>
      <c r="F2">
        <v>1</v>
      </c>
      <c r="G2">
        <v>1</v>
      </c>
      <c r="H2" t="s">
        <v>29</v>
      </c>
      <c r="I2">
        <v>0</v>
      </c>
    </row>
    <row r="3" spans="1:109" x14ac:dyDescent="0.25">
      <c r="A3" t="s">
        <v>30</v>
      </c>
      <c r="B3" t="s">
        <v>28</v>
      </c>
      <c r="D3" t="b">
        <v>0</v>
      </c>
      <c r="F3">
        <v>1</v>
      </c>
      <c r="G3">
        <v>1</v>
      </c>
      <c r="H3" t="s">
        <v>31</v>
      </c>
      <c r="I3">
        <v>0</v>
      </c>
    </row>
    <row r="4" spans="1:109" x14ac:dyDescent="0.25">
      <c r="A4" t="s">
        <v>32</v>
      </c>
      <c r="B4" t="s">
        <v>30</v>
      </c>
      <c r="C4" t="s">
        <v>28</v>
      </c>
      <c r="D4" t="b">
        <v>1</v>
      </c>
      <c r="E4" t="s">
        <v>33</v>
      </c>
      <c r="F4">
        <v>1</v>
      </c>
      <c r="G4">
        <v>1</v>
      </c>
      <c r="H4" t="s">
        <v>34</v>
      </c>
      <c r="I4">
        <v>0</v>
      </c>
    </row>
    <row r="5" spans="1:109" x14ac:dyDescent="0.25">
      <c r="A5" t="s">
        <v>35</v>
      </c>
      <c r="B5" t="s">
        <v>30</v>
      </c>
      <c r="C5" t="s">
        <v>28</v>
      </c>
      <c r="D5" t="b">
        <v>1</v>
      </c>
      <c r="E5" t="s">
        <v>33</v>
      </c>
      <c r="F5">
        <v>0</v>
      </c>
      <c r="G5">
        <v>1</v>
      </c>
      <c r="H5" t="s">
        <v>36</v>
      </c>
      <c r="I5">
        <v>0</v>
      </c>
    </row>
    <row r="6" spans="1:109" x14ac:dyDescent="0.25">
      <c r="A6" t="s">
        <v>37</v>
      </c>
      <c r="B6" t="s">
        <v>30</v>
      </c>
      <c r="C6" t="s">
        <v>28</v>
      </c>
      <c r="D6" t="b">
        <v>1</v>
      </c>
      <c r="E6" t="s">
        <v>33</v>
      </c>
      <c r="F6">
        <v>1</v>
      </c>
      <c r="G6">
        <v>1</v>
      </c>
      <c r="H6" t="s">
        <v>38</v>
      </c>
      <c r="I6">
        <v>8</v>
      </c>
      <c r="J6" t="s">
        <v>1185</v>
      </c>
      <c r="K6" t="s">
        <v>1186</v>
      </c>
      <c r="L6" t="s">
        <v>1187</v>
      </c>
      <c r="M6" t="s">
        <v>1188</v>
      </c>
      <c r="N6" t="s">
        <v>1189</v>
      </c>
      <c r="O6" t="s">
        <v>1190</v>
      </c>
      <c r="P6" t="s">
        <v>1191</v>
      </c>
      <c r="Q6" t="s">
        <v>1192</v>
      </c>
    </row>
    <row r="7" spans="1:109" x14ac:dyDescent="0.25">
      <c r="A7" t="s">
        <v>39</v>
      </c>
      <c r="B7" t="s">
        <v>30</v>
      </c>
      <c r="C7" t="s">
        <v>28</v>
      </c>
      <c r="D7" t="b">
        <v>1</v>
      </c>
      <c r="E7" t="s">
        <v>33</v>
      </c>
      <c r="F7">
        <v>1</v>
      </c>
      <c r="G7">
        <v>1</v>
      </c>
      <c r="H7" t="s">
        <v>40</v>
      </c>
      <c r="I7">
        <v>8</v>
      </c>
      <c r="J7" t="s">
        <v>1185</v>
      </c>
      <c r="K7" t="s">
        <v>1186</v>
      </c>
      <c r="L7" t="s">
        <v>1187</v>
      </c>
      <c r="M7" t="s">
        <v>1188</v>
      </c>
      <c r="N7" t="s">
        <v>1189</v>
      </c>
      <c r="O7" t="s">
        <v>1190</v>
      </c>
      <c r="P7" t="s">
        <v>1191</v>
      </c>
      <c r="Q7" t="s">
        <v>1192</v>
      </c>
    </row>
    <row r="8" spans="1:109" x14ac:dyDescent="0.25">
      <c r="A8" t="s">
        <v>41</v>
      </c>
      <c r="B8" t="s">
        <v>30</v>
      </c>
      <c r="C8" t="s">
        <v>28</v>
      </c>
      <c r="D8" t="b">
        <v>1</v>
      </c>
      <c r="E8" t="s">
        <v>42</v>
      </c>
      <c r="F8">
        <v>0</v>
      </c>
      <c r="G8">
        <v>1</v>
      </c>
      <c r="H8" t="s">
        <v>43</v>
      </c>
      <c r="I8">
        <v>0</v>
      </c>
    </row>
    <row r="9" spans="1:109" x14ac:dyDescent="0.25">
      <c r="A9" t="s">
        <v>44</v>
      </c>
      <c r="B9" t="s">
        <v>30</v>
      </c>
      <c r="C9" t="s">
        <v>28</v>
      </c>
      <c r="D9" t="b">
        <v>1</v>
      </c>
      <c r="E9" t="s">
        <v>33</v>
      </c>
      <c r="F9">
        <v>1</v>
      </c>
      <c r="G9">
        <v>1</v>
      </c>
      <c r="H9" t="s">
        <v>45</v>
      </c>
      <c r="I9">
        <v>0</v>
      </c>
    </row>
    <row r="10" spans="1:109" x14ac:dyDescent="0.25">
      <c r="A10" t="s">
        <v>46</v>
      </c>
      <c r="B10" t="s">
        <v>30</v>
      </c>
      <c r="C10" t="s">
        <v>28</v>
      </c>
      <c r="D10" t="b">
        <v>1</v>
      </c>
      <c r="E10" t="s">
        <v>33</v>
      </c>
      <c r="F10">
        <v>1</v>
      </c>
      <c r="G10">
        <v>1</v>
      </c>
      <c r="H10" t="s">
        <v>47</v>
      </c>
      <c r="I10">
        <v>0</v>
      </c>
    </row>
    <row r="11" spans="1:109" x14ac:dyDescent="0.25">
      <c r="A11" t="s">
        <v>48</v>
      </c>
      <c r="B11" t="s">
        <v>30</v>
      </c>
      <c r="C11" t="s">
        <v>28</v>
      </c>
      <c r="D11" t="b">
        <v>1</v>
      </c>
      <c r="E11" t="s">
        <v>33</v>
      </c>
      <c r="F11">
        <v>0</v>
      </c>
      <c r="G11">
        <v>1</v>
      </c>
      <c r="H11" t="s">
        <v>29</v>
      </c>
      <c r="I11">
        <v>0</v>
      </c>
    </row>
    <row r="12" spans="1:109" x14ac:dyDescent="0.25">
      <c r="A12" t="s">
        <v>49</v>
      </c>
      <c r="B12" t="s">
        <v>30</v>
      </c>
      <c r="C12" t="s">
        <v>28</v>
      </c>
      <c r="D12" t="b">
        <v>1</v>
      </c>
      <c r="E12" t="s">
        <v>33</v>
      </c>
      <c r="F12">
        <v>0</v>
      </c>
      <c r="G12">
        <v>1</v>
      </c>
      <c r="H12" t="s">
        <v>29</v>
      </c>
      <c r="I12">
        <v>0</v>
      </c>
    </row>
    <row r="13" spans="1:109" x14ac:dyDescent="0.25">
      <c r="A13" t="s">
        <v>50</v>
      </c>
      <c r="B13" t="s">
        <v>30</v>
      </c>
      <c r="C13" t="s">
        <v>28</v>
      </c>
      <c r="D13" t="b">
        <v>0</v>
      </c>
      <c r="F13">
        <v>1</v>
      </c>
      <c r="G13">
        <v>1</v>
      </c>
      <c r="H13" t="s">
        <v>51</v>
      </c>
      <c r="I13">
        <v>0</v>
      </c>
    </row>
    <row r="14" spans="1:109" x14ac:dyDescent="0.25">
      <c r="A14" t="s">
        <v>52</v>
      </c>
      <c r="B14" t="s">
        <v>50</v>
      </c>
      <c r="C14" t="s">
        <v>30</v>
      </c>
      <c r="D14" t="b">
        <v>1</v>
      </c>
      <c r="E14" t="s">
        <v>33</v>
      </c>
      <c r="F14">
        <v>1</v>
      </c>
      <c r="G14">
        <v>1</v>
      </c>
      <c r="H14" t="s">
        <v>53</v>
      </c>
      <c r="I14">
        <v>0</v>
      </c>
    </row>
    <row r="15" spans="1:109" x14ac:dyDescent="0.25">
      <c r="A15" t="s">
        <v>54</v>
      </c>
      <c r="B15" t="s">
        <v>50</v>
      </c>
      <c r="C15" t="s">
        <v>30</v>
      </c>
      <c r="D15" t="b">
        <v>1</v>
      </c>
      <c r="E15" t="s">
        <v>55</v>
      </c>
      <c r="F15">
        <v>1</v>
      </c>
      <c r="G15">
        <v>1</v>
      </c>
      <c r="H15" t="s">
        <v>56</v>
      </c>
      <c r="I15">
        <v>0</v>
      </c>
    </row>
    <row r="16" spans="1:109" x14ac:dyDescent="0.25">
      <c r="A16" t="s">
        <v>57</v>
      </c>
      <c r="B16" t="s">
        <v>50</v>
      </c>
      <c r="C16" t="s">
        <v>30</v>
      </c>
      <c r="D16" t="b">
        <v>1</v>
      </c>
      <c r="E16" t="s">
        <v>33</v>
      </c>
      <c r="F16">
        <v>1</v>
      </c>
      <c r="G16">
        <v>1</v>
      </c>
      <c r="H16" t="s">
        <v>58</v>
      </c>
      <c r="I16">
        <v>4</v>
      </c>
      <c r="J16" t="s">
        <v>1193</v>
      </c>
      <c r="K16" t="s">
        <v>1194</v>
      </c>
      <c r="L16" t="s">
        <v>1195</v>
      </c>
      <c r="M16" t="s">
        <v>1196</v>
      </c>
    </row>
    <row r="17" spans="1:20" x14ac:dyDescent="0.25">
      <c r="A17" t="s">
        <v>59</v>
      </c>
      <c r="B17" t="s">
        <v>50</v>
      </c>
      <c r="C17" t="s">
        <v>30</v>
      </c>
      <c r="D17" t="b">
        <v>1</v>
      </c>
      <c r="E17" t="s">
        <v>55</v>
      </c>
      <c r="F17">
        <v>1</v>
      </c>
      <c r="G17">
        <v>1</v>
      </c>
      <c r="H17" t="s">
        <v>60</v>
      </c>
      <c r="I17">
        <v>0</v>
      </c>
    </row>
    <row r="18" spans="1:20" x14ac:dyDescent="0.25">
      <c r="A18" t="s">
        <v>61</v>
      </c>
      <c r="B18" t="s">
        <v>50</v>
      </c>
      <c r="C18" t="s">
        <v>30</v>
      </c>
      <c r="D18" t="b">
        <v>1</v>
      </c>
      <c r="E18" t="s">
        <v>55</v>
      </c>
      <c r="F18">
        <v>1</v>
      </c>
      <c r="G18">
        <v>1</v>
      </c>
      <c r="H18" t="s">
        <v>62</v>
      </c>
      <c r="I18">
        <v>0</v>
      </c>
    </row>
    <row r="19" spans="1:20" x14ac:dyDescent="0.25">
      <c r="A19" t="s">
        <v>63</v>
      </c>
      <c r="B19" t="s">
        <v>50</v>
      </c>
      <c r="C19" t="s">
        <v>30</v>
      </c>
      <c r="D19" t="b">
        <v>1</v>
      </c>
      <c r="E19" t="s">
        <v>33</v>
      </c>
      <c r="F19">
        <v>1</v>
      </c>
      <c r="G19">
        <v>1</v>
      </c>
      <c r="H19" t="s">
        <v>64</v>
      </c>
      <c r="I19">
        <v>7</v>
      </c>
      <c r="J19" t="s">
        <v>1197</v>
      </c>
      <c r="K19" t="s">
        <v>1198</v>
      </c>
      <c r="L19" t="s">
        <v>1199</v>
      </c>
      <c r="M19" t="s">
        <v>1200</v>
      </c>
      <c r="N19" t="s">
        <v>1201</v>
      </c>
      <c r="O19" t="s">
        <v>1202</v>
      </c>
      <c r="P19" t="s">
        <v>1203</v>
      </c>
    </row>
    <row r="20" spans="1:20" x14ac:dyDescent="0.25">
      <c r="A20" t="s">
        <v>65</v>
      </c>
      <c r="B20" t="s">
        <v>50</v>
      </c>
      <c r="C20" t="s">
        <v>30</v>
      </c>
      <c r="D20" t="b">
        <v>1</v>
      </c>
      <c r="E20" t="s">
        <v>33</v>
      </c>
      <c r="F20">
        <v>1</v>
      </c>
      <c r="G20">
        <v>1</v>
      </c>
      <c r="H20" t="s">
        <v>66</v>
      </c>
      <c r="I20">
        <v>2</v>
      </c>
      <c r="J20" t="s">
        <v>1204</v>
      </c>
      <c r="K20" t="s">
        <v>1205</v>
      </c>
    </row>
    <row r="21" spans="1:20" x14ac:dyDescent="0.25">
      <c r="A21" t="s">
        <v>67</v>
      </c>
      <c r="B21" t="s">
        <v>50</v>
      </c>
      <c r="C21" t="s">
        <v>30</v>
      </c>
      <c r="D21" t="b">
        <v>1</v>
      </c>
      <c r="E21" t="s">
        <v>33</v>
      </c>
      <c r="F21">
        <v>1</v>
      </c>
      <c r="G21">
        <v>1</v>
      </c>
      <c r="H21" t="s">
        <v>29</v>
      </c>
      <c r="I21">
        <v>4</v>
      </c>
      <c r="J21" t="s">
        <v>1206</v>
      </c>
      <c r="K21" t="s">
        <v>1207</v>
      </c>
      <c r="L21" t="s">
        <v>1208</v>
      </c>
      <c r="M21" t="s">
        <v>1209</v>
      </c>
    </row>
    <row r="22" spans="1:20" x14ac:dyDescent="0.25">
      <c r="A22" t="s">
        <v>68</v>
      </c>
      <c r="B22" t="s">
        <v>50</v>
      </c>
      <c r="C22" t="s">
        <v>30</v>
      </c>
      <c r="D22" t="b">
        <v>1</v>
      </c>
      <c r="E22" t="s">
        <v>33</v>
      </c>
      <c r="F22">
        <v>1</v>
      </c>
      <c r="G22">
        <v>1</v>
      </c>
      <c r="H22" t="s">
        <v>29</v>
      </c>
      <c r="I22">
        <v>11</v>
      </c>
      <c r="J22" t="s">
        <v>1210</v>
      </c>
      <c r="K22" t="s">
        <v>1211</v>
      </c>
      <c r="L22" t="s">
        <v>1212</v>
      </c>
      <c r="M22" t="s">
        <v>1213</v>
      </c>
      <c r="N22" t="s">
        <v>1214</v>
      </c>
      <c r="O22" t="s">
        <v>1215</v>
      </c>
      <c r="P22" t="s">
        <v>1216</v>
      </c>
      <c r="Q22" t="s">
        <v>1217</v>
      </c>
      <c r="R22" t="s">
        <v>1218</v>
      </c>
      <c r="S22" t="s">
        <v>1219</v>
      </c>
      <c r="T22" t="s">
        <v>1220</v>
      </c>
    </row>
    <row r="23" spans="1:20" x14ac:dyDescent="0.25">
      <c r="A23" t="s">
        <v>69</v>
      </c>
      <c r="B23" t="s">
        <v>50</v>
      </c>
      <c r="C23" t="s">
        <v>30</v>
      </c>
      <c r="D23" t="b">
        <v>1</v>
      </c>
      <c r="E23" t="s">
        <v>33</v>
      </c>
      <c r="F23">
        <v>1</v>
      </c>
      <c r="G23">
        <v>1</v>
      </c>
      <c r="H23" t="s">
        <v>70</v>
      </c>
      <c r="I23">
        <v>2</v>
      </c>
      <c r="J23" t="s">
        <v>1221</v>
      </c>
      <c r="K23" t="s">
        <v>1222</v>
      </c>
    </row>
    <row r="24" spans="1:20" x14ac:dyDescent="0.25">
      <c r="A24" t="s">
        <v>71</v>
      </c>
      <c r="B24" t="s">
        <v>50</v>
      </c>
      <c r="C24" t="s">
        <v>30</v>
      </c>
      <c r="D24" t="b">
        <v>1</v>
      </c>
      <c r="E24" t="s">
        <v>33</v>
      </c>
      <c r="F24">
        <v>1</v>
      </c>
      <c r="G24">
        <v>1</v>
      </c>
      <c r="H24" t="s">
        <v>72</v>
      </c>
      <c r="I24">
        <v>5</v>
      </c>
      <c r="J24" t="s">
        <v>1223</v>
      </c>
      <c r="K24" t="s">
        <v>1224</v>
      </c>
      <c r="L24" t="s">
        <v>1225</v>
      </c>
      <c r="M24" t="s">
        <v>1226</v>
      </c>
      <c r="N24" t="s">
        <v>1227</v>
      </c>
    </row>
    <row r="25" spans="1:20" x14ac:dyDescent="0.25">
      <c r="A25" t="s">
        <v>73</v>
      </c>
      <c r="B25" t="s">
        <v>50</v>
      </c>
      <c r="C25" t="s">
        <v>30</v>
      </c>
      <c r="D25" t="b">
        <v>0</v>
      </c>
      <c r="F25">
        <v>1</v>
      </c>
      <c r="G25">
        <v>1</v>
      </c>
      <c r="H25" t="s">
        <v>74</v>
      </c>
      <c r="I25">
        <v>0</v>
      </c>
    </row>
    <row r="26" spans="1:20" x14ac:dyDescent="0.25">
      <c r="A26" t="s">
        <v>1</v>
      </c>
      <c r="B26" t="s">
        <v>73</v>
      </c>
      <c r="C26" t="s">
        <v>50</v>
      </c>
      <c r="D26" t="b">
        <v>1</v>
      </c>
      <c r="E26" t="s">
        <v>33</v>
      </c>
      <c r="F26">
        <v>1</v>
      </c>
      <c r="G26">
        <v>1</v>
      </c>
      <c r="H26" t="s">
        <v>75</v>
      </c>
      <c r="I26">
        <v>0</v>
      </c>
    </row>
    <row r="27" spans="1:20" x14ac:dyDescent="0.25">
      <c r="A27" t="s">
        <v>76</v>
      </c>
      <c r="B27" t="s">
        <v>73</v>
      </c>
      <c r="C27" t="s">
        <v>50</v>
      </c>
      <c r="D27" t="b">
        <v>1</v>
      </c>
      <c r="E27" t="s">
        <v>33</v>
      </c>
      <c r="F27">
        <v>0</v>
      </c>
      <c r="G27">
        <v>1</v>
      </c>
      <c r="H27" t="s">
        <v>77</v>
      </c>
      <c r="I27">
        <v>2</v>
      </c>
      <c r="J27" t="s">
        <v>1221</v>
      </c>
      <c r="K27" t="s">
        <v>1222</v>
      </c>
    </row>
    <row r="28" spans="1:20" x14ac:dyDescent="0.25">
      <c r="A28" t="s">
        <v>78</v>
      </c>
      <c r="B28" t="s">
        <v>73</v>
      </c>
      <c r="C28" t="s">
        <v>50</v>
      </c>
      <c r="D28" t="b">
        <v>0</v>
      </c>
      <c r="F28">
        <v>1</v>
      </c>
      <c r="G28">
        <v>1</v>
      </c>
      <c r="H28" t="s">
        <v>79</v>
      </c>
      <c r="I28">
        <v>0</v>
      </c>
    </row>
    <row r="29" spans="1:20" x14ac:dyDescent="0.25">
      <c r="A29" t="s">
        <v>80</v>
      </c>
      <c r="B29" t="s">
        <v>78</v>
      </c>
      <c r="C29" t="s">
        <v>73</v>
      </c>
      <c r="D29" t="b">
        <v>1</v>
      </c>
      <c r="E29" t="s">
        <v>33</v>
      </c>
      <c r="F29">
        <v>1</v>
      </c>
      <c r="G29">
        <v>1</v>
      </c>
      <c r="H29" t="s">
        <v>29</v>
      </c>
      <c r="I29">
        <v>0</v>
      </c>
    </row>
    <row r="30" spans="1:20" x14ac:dyDescent="0.25">
      <c r="A30" t="s">
        <v>81</v>
      </c>
      <c r="B30" t="s">
        <v>78</v>
      </c>
      <c r="C30" t="s">
        <v>73</v>
      </c>
      <c r="D30" t="b">
        <v>1</v>
      </c>
      <c r="E30" t="s">
        <v>33</v>
      </c>
      <c r="F30">
        <v>0</v>
      </c>
      <c r="G30">
        <v>1</v>
      </c>
      <c r="H30" t="s">
        <v>29</v>
      </c>
      <c r="I30">
        <v>0</v>
      </c>
    </row>
    <row r="31" spans="1:20" x14ac:dyDescent="0.25">
      <c r="A31" t="s">
        <v>82</v>
      </c>
      <c r="B31" t="s">
        <v>78</v>
      </c>
      <c r="C31" t="s">
        <v>73</v>
      </c>
      <c r="D31" t="b">
        <v>1</v>
      </c>
      <c r="E31" t="s">
        <v>33</v>
      </c>
      <c r="F31">
        <v>0</v>
      </c>
      <c r="G31">
        <v>1</v>
      </c>
      <c r="H31" t="s">
        <v>29</v>
      </c>
      <c r="I31">
        <v>0</v>
      </c>
    </row>
    <row r="32" spans="1:20" x14ac:dyDescent="0.25">
      <c r="A32" t="s">
        <v>83</v>
      </c>
      <c r="B32" t="s">
        <v>78</v>
      </c>
      <c r="C32" t="s">
        <v>73</v>
      </c>
      <c r="D32" t="b">
        <v>1</v>
      </c>
      <c r="E32" t="s">
        <v>33</v>
      </c>
      <c r="F32">
        <v>1</v>
      </c>
      <c r="G32">
        <v>1</v>
      </c>
      <c r="H32" t="s">
        <v>29</v>
      </c>
      <c r="I32">
        <v>0</v>
      </c>
    </row>
    <row r="33" spans="1:9" x14ac:dyDescent="0.25">
      <c r="A33" t="s">
        <v>84</v>
      </c>
      <c r="B33" t="s">
        <v>78</v>
      </c>
      <c r="C33" t="s">
        <v>73</v>
      </c>
      <c r="D33" t="b">
        <v>1</v>
      </c>
      <c r="E33" t="s">
        <v>33</v>
      </c>
      <c r="F33">
        <v>1</v>
      </c>
      <c r="G33">
        <v>1</v>
      </c>
      <c r="H33" t="s">
        <v>85</v>
      </c>
      <c r="I33">
        <v>0</v>
      </c>
    </row>
    <row r="34" spans="1:9" x14ac:dyDescent="0.25">
      <c r="A34" t="s">
        <v>86</v>
      </c>
      <c r="B34" t="s">
        <v>73</v>
      </c>
      <c r="C34" t="s">
        <v>50</v>
      </c>
      <c r="D34" t="b">
        <v>1</v>
      </c>
      <c r="E34" t="s">
        <v>33</v>
      </c>
      <c r="F34">
        <v>0</v>
      </c>
      <c r="G34">
        <v>1</v>
      </c>
      <c r="H34" t="s">
        <v>29</v>
      </c>
      <c r="I34">
        <v>0</v>
      </c>
    </row>
    <row r="35" spans="1:9" x14ac:dyDescent="0.25">
      <c r="A35" t="s">
        <v>87</v>
      </c>
      <c r="B35" t="s">
        <v>73</v>
      </c>
      <c r="C35" t="s">
        <v>50</v>
      </c>
      <c r="D35" t="b">
        <v>1</v>
      </c>
      <c r="E35" t="s">
        <v>33</v>
      </c>
      <c r="F35">
        <v>0</v>
      </c>
      <c r="G35">
        <v>1</v>
      </c>
      <c r="H35" t="s">
        <v>88</v>
      </c>
      <c r="I35">
        <v>0</v>
      </c>
    </row>
    <row r="36" spans="1:9" x14ac:dyDescent="0.25">
      <c r="A36" t="s">
        <v>89</v>
      </c>
      <c r="B36" t="s">
        <v>73</v>
      </c>
      <c r="C36" t="s">
        <v>50</v>
      </c>
      <c r="D36" t="b">
        <v>1</v>
      </c>
      <c r="E36" t="s">
        <v>33</v>
      </c>
      <c r="F36">
        <v>0</v>
      </c>
      <c r="G36">
        <v>1</v>
      </c>
      <c r="H36" t="s">
        <v>29</v>
      </c>
      <c r="I36">
        <v>0</v>
      </c>
    </row>
    <row r="37" spans="1:9" x14ac:dyDescent="0.25">
      <c r="A37" t="s">
        <v>90</v>
      </c>
      <c r="B37" t="s">
        <v>73</v>
      </c>
      <c r="C37" t="s">
        <v>50</v>
      </c>
      <c r="D37" t="b">
        <v>1</v>
      </c>
      <c r="E37" t="s">
        <v>33</v>
      </c>
      <c r="F37">
        <v>0</v>
      </c>
      <c r="G37">
        <v>1</v>
      </c>
      <c r="H37" t="s">
        <v>29</v>
      </c>
      <c r="I37">
        <v>0</v>
      </c>
    </row>
    <row r="38" spans="1:9" x14ac:dyDescent="0.25">
      <c r="A38" t="s">
        <v>91</v>
      </c>
      <c r="B38" t="s">
        <v>73</v>
      </c>
      <c r="C38" t="s">
        <v>50</v>
      </c>
      <c r="D38" t="b">
        <v>1</v>
      </c>
      <c r="E38" t="s">
        <v>33</v>
      </c>
      <c r="F38">
        <v>1</v>
      </c>
      <c r="G38">
        <v>1</v>
      </c>
      <c r="H38" t="s">
        <v>92</v>
      </c>
      <c r="I38">
        <v>0</v>
      </c>
    </row>
    <row r="39" spans="1:9" x14ac:dyDescent="0.25">
      <c r="A39" t="s">
        <v>93</v>
      </c>
      <c r="B39" t="s">
        <v>73</v>
      </c>
      <c r="C39" t="s">
        <v>50</v>
      </c>
      <c r="D39" t="b">
        <v>1</v>
      </c>
      <c r="E39" t="s">
        <v>33</v>
      </c>
      <c r="F39">
        <v>1</v>
      </c>
      <c r="G39">
        <v>1</v>
      </c>
      <c r="H39" t="s">
        <v>29</v>
      </c>
      <c r="I39">
        <v>0</v>
      </c>
    </row>
    <row r="40" spans="1:9" x14ac:dyDescent="0.25">
      <c r="A40" t="s">
        <v>94</v>
      </c>
      <c r="B40" t="s">
        <v>73</v>
      </c>
      <c r="C40" t="s">
        <v>50</v>
      </c>
      <c r="D40" t="b">
        <v>1</v>
      </c>
      <c r="E40" t="s">
        <v>33</v>
      </c>
      <c r="F40">
        <v>1</v>
      </c>
      <c r="G40">
        <v>1</v>
      </c>
      <c r="H40" t="s">
        <v>29</v>
      </c>
      <c r="I40">
        <v>0</v>
      </c>
    </row>
    <row r="41" spans="1:9" x14ac:dyDescent="0.25">
      <c r="A41" t="s">
        <v>95</v>
      </c>
      <c r="B41" t="s">
        <v>73</v>
      </c>
      <c r="C41" t="s">
        <v>50</v>
      </c>
      <c r="D41" t="b">
        <v>0</v>
      </c>
      <c r="F41">
        <v>1</v>
      </c>
      <c r="G41">
        <v>1</v>
      </c>
      <c r="H41" t="s">
        <v>29</v>
      </c>
      <c r="I41">
        <v>0</v>
      </c>
    </row>
    <row r="42" spans="1:9" x14ac:dyDescent="0.25">
      <c r="A42" t="s">
        <v>96</v>
      </c>
      <c r="B42" t="s">
        <v>95</v>
      </c>
      <c r="C42" t="s">
        <v>73</v>
      </c>
      <c r="D42" t="b">
        <v>1</v>
      </c>
      <c r="E42" t="s">
        <v>33</v>
      </c>
      <c r="F42">
        <v>1</v>
      </c>
      <c r="G42">
        <v>1</v>
      </c>
      <c r="H42" t="s">
        <v>97</v>
      </c>
      <c r="I42">
        <v>0</v>
      </c>
    </row>
    <row r="43" spans="1:9" x14ac:dyDescent="0.25">
      <c r="A43" t="s">
        <v>98</v>
      </c>
      <c r="B43" t="s">
        <v>95</v>
      </c>
      <c r="C43" t="s">
        <v>73</v>
      </c>
      <c r="D43" t="b">
        <v>1</v>
      </c>
      <c r="E43" t="s">
        <v>33</v>
      </c>
      <c r="F43">
        <v>1</v>
      </c>
      <c r="G43">
        <v>1</v>
      </c>
      <c r="H43" t="s">
        <v>99</v>
      </c>
      <c r="I43">
        <v>0</v>
      </c>
    </row>
    <row r="44" spans="1:9" x14ac:dyDescent="0.25">
      <c r="A44" t="s">
        <v>100</v>
      </c>
      <c r="B44" t="s">
        <v>50</v>
      </c>
      <c r="C44" t="s">
        <v>30</v>
      </c>
      <c r="D44" t="b">
        <v>0</v>
      </c>
      <c r="F44">
        <v>1</v>
      </c>
      <c r="G44">
        <v>1</v>
      </c>
      <c r="H44" t="s">
        <v>101</v>
      </c>
      <c r="I44">
        <v>0</v>
      </c>
    </row>
    <row r="45" spans="1:9" x14ac:dyDescent="0.25">
      <c r="A45" t="s">
        <v>102</v>
      </c>
      <c r="B45" t="s">
        <v>100</v>
      </c>
      <c r="C45" t="s">
        <v>50</v>
      </c>
      <c r="D45" t="b">
        <v>0</v>
      </c>
      <c r="F45">
        <v>1</v>
      </c>
      <c r="G45">
        <v>1</v>
      </c>
      <c r="H45" t="s">
        <v>103</v>
      </c>
      <c r="I45">
        <v>0</v>
      </c>
    </row>
    <row r="46" spans="1:9" x14ac:dyDescent="0.25">
      <c r="A46" t="s">
        <v>80</v>
      </c>
      <c r="B46" t="s">
        <v>102</v>
      </c>
      <c r="C46" t="s">
        <v>100</v>
      </c>
      <c r="D46" t="b">
        <v>1</v>
      </c>
      <c r="E46" t="s">
        <v>33</v>
      </c>
      <c r="F46">
        <v>1</v>
      </c>
      <c r="G46">
        <v>1</v>
      </c>
      <c r="H46" t="s">
        <v>29</v>
      </c>
      <c r="I46">
        <v>0</v>
      </c>
    </row>
    <row r="47" spans="1:9" x14ac:dyDescent="0.25">
      <c r="A47" t="s">
        <v>81</v>
      </c>
      <c r="B47" t="s">
        <v>102</v>
      </c>
      <c r="C47" t="s">
        <v>100</v>
      </c>
      <c r="D47" t="b">
        <v>1</v>
      </c>
      <c r="E47" t="s">
        <v>33</v>
      </c>
      <c r="F47">
        <v>0</v>
      </c>
      <c r="G47">
        <v>1</v>
      </c>
      <c r="H47" t="s">
        <v>29</v>
      </c>
      <c r="I47">
        <v>0</v>
      </c>
    </row>
    <row r="48" spans="1:9" x14ac:dyDescent="0.25">
      <c r="A48" t="s">
        <v>82</v>
      </c>
      <c r="B48" t="s">
        <v>102</v>
      </c>
      <c r="C48" t="s">
        <v>100</v>
      </c>
      <c r="D48" t="b">
        <v>1</v>
      </c>
      <c r="E48" t="s">
        <v>33</v>
      </c>
      <c r="F48">
        <v>0</v>
      </c>
      <c r="G48">
        <v>1</v>
      </c>
      <c r="H48" t="s">
        <v>29</v>
      </c>
      <c r="I48">
        <v>0</v>
      </c>
    </row>
    <row r="49" spans="1:33" x14ac:dyDescent="0.25">
      <c r="A49" t="s">
        <v>83</v>
      </c>
      <c r="B49" t="s">
        <v>102</v>
      </c>
      <c r="C49" t="s">
        <v>100</v>
      </c>
      <c r="D49" t="b">
        <v>1</v>
      </c>
      <c r="E49" t="s">
        <v>33</v>
      </c>
      <c r="F49">
        <v>1</v>
      </c>
      <c r="G49">
        <v>1</v>
      </c>
      <c r="H49" t="s">
        <v>29</v>
      </c>
      <c r="I49">
        <v>0</v>
      </c>
    </row>
    <row r="50" spans="1:33" x14ac:dyDescent="0.25">
      <c r="A50" t="s">
        <v>84</v>
      </c>
      <c r="B50" t="s">
        <v>102</v>
      </c>
      <c r="C50" t="s">
        <v>100</v>
      </c>
      <c r="D50" t="b">
        <v>1</v>
      </c>
      <c r="E50" t="s">
        <v>33</v>
      </c>
      <c r="F50">
        <v>1</v>
      </c>
      <c r="G50">
        <v>1</v>
      </c>
      <c r="H50" t="s">
        <v>85</v>
      </c>
      <c r="I50">
        <v>0</v>
      </c>
    </row>
    <row r="51" spans="1:33" x14ac:dyDescent="0.25">
      <c r="A51" t="s">
        <v>104</v>
      </c>
      <c r="B51" t="s">
        <v>100</v>
      </c>
      <c r="C51" t="s">
        <v>50</v>
      </c>
      <c r="D51" t="b">
        <v>1</v>
      </c>
      <c r="E51" t="s">
        <v>33</v>
      </c>
      <c r="F51">
        <v>0</v>
      </c>
      <c r="G51">
        <v>1</v>
      </c>
      <c r="H51" t="s">
        <v>105</v>
      </c>
      <c r="I51">
        <v>0</v>
      </c>
    </row>
    <row r="52" spans="1:33" x14ac:dyDescent="0.25">
      <c r="A52" t="s">
        <v>106</v>
      </c>
      <c r="B52" t="s">
        <v>100</v>
      </c>
      <c r="C52" t="s">
        <v>50</v>
      </c>
      <c r="D52" t="b">
        <v>1</v>
      </c>
      <c r="E52" t="s">
        <v>33</v>
      </c>
      <c r="F52">
        <v>0</v>
      </c>
      <c r="G52">
        <v>1</v>
      </c>
      <c r="H52" t="s">
        <v>107</v>
      </c>
      <c r="I52">
        <v>0</v>
      </c>
    </row>
    <row r="53" spans="1:33" x14ac:dyDescent="0.25">
      <c r="A53" t="s">
        <v>108</v>
      </c>
      <c r="B53" t="s">
        <v>100</v>
      </c>
      <c r="C53" t="s">
        <v>50</v>
      </c>
      <c r="D53" t="b">
        <v>1</v>
      </c>
      <c r="E53" t="s">
        <v>33</v>
      </c>
      <c r="F53">
        <v>0</v>
      </c>
      <c r="G53">
        <v>1</v>
      </c>
      <c r="H53" t="s">
        <v>109</v>
      </c>
      <c r="I53">
        <v>0</v>
      </c>
    </row>
    <row r="54" spans="1:33" x14ac:dyDescent="0.25">
      <c r="A54" t="s">
        <v>110</v>
      </c>
      <c r="B54" t="s">
        <v>50</v>
      </c>
      <c r="C54" t="s">
        <v>30</v>
      </c>
      <c r="D54" t="b">
        <v>1</v>
      </c>
      <c r="E54" t="s">
        <v>33</v>
      </c>
      <c r="F54">
        <v>0</v>
      </c>
      <c r="G54">
        <v>1</v>
      </c>
      <c r="H54" t="s">
        <v>111</v>
      </c>
      <c r="I54">
        <v>24</v>
      </c>
      <c r="J54" t="s">
        <v>1228</v>
      </c>
      <c r="K54" t="s">
        <v>1229</v>
      </c>
      <c r="L54" t="s">
        <v>1230</v>
      </c>
      <c r="M54" t="s">
        <v>1231</v>
      </c>
      <c r="N54" t="s">
        <v>1232</v>
      </c>
      <c r="O54" t="s">
        <v>1233</v>
      </c>
      <c r="P54" t="s">
        <v>1234</v>
      </c>
      <c r="Q54" t="s">
        <v>1235</v>
      </c>
      <c r="R54" t="s">
        <v>1236</v>
      </c>
      <c r="S54" t="s">
        <v>1237</v>
      </c>
      <c r="T54" t="s">
        <v>1238</v>
      </c>
      <c r="U54" t="s">
        <v>1239</v>
      </c>
      <c r="V54" t="s">
        <v>1240</v>
      </c>
      <c r="W54" t="s">
        <v>1241</v>
      </c>
      <c r="X54" t="s">
        <v>1242</v>
      </c>
      <c r="Y54" t="s">
        <v>1243</v>
      </c>
      <c r="Z54" t="s">
        <v>1244</v>
      </c>
      <c r="AA54" t="s">
        <v>1245</v>
      </c>
      <c r="AB54" t="s">
        <v>1246</v>
      </c>
      <c r="AC54" t="s">
        <v>1247</v>
      </c>
      <c r="AD54" t="s">
        <v>1248</v>
      </c>
      <c r="AE54" t="s">
        <v>1249</v>
      </c>
      <c r="AF54" t="s">
        <v>1250</v>
      </c>
      <c r="AG54" t="s">
        <v>1251</v>
      </c>
    </row>
    <row r="55" spans="1:33" x14ac:dyDescent="0.25">
      <c r="A55" t="s">
        <v>112</v>
      </c>
      <c r="B55" t="s">
        <v>50</v>
      </c>
      <c r="C55" t="s">
        <v>30</v>
      </c>
      <c r="D55" t="b">
        <v>1</v>
      </c>
      <c r="E55" t="s">
        <v>33</v>
      </c>
      <c r="F55">
        <v>0</v>
      </c>
      <c r="G55">
        <v>1</v>
      </c>
      <c r="H55" t="s">
        <v>113</v>
      </c>
      <c r="I55">
        <v>5</v>
      </c>
      <c r="J55" t="s">
        <v>1252</v>
      </c>
      <c r="K55" t="s">
        <v>1253</v>
      </c>
      <c r="L55" t="s">
        <v>1254</v>
      </c>
      <c r="M55" t="s">
        <v>1255</v>
      </c>
      <c r="N55" t="s">
        <v>1256</v>
      </c>
    </row>
    <row r="56" spans="1:33" x14ac:dyDescent="0.25">
      <c r="A56" t="s">
        <v>114</v>
      </c>
      <c r="B56" t="s">
        <v>50</v>
      </c>
      <c r="C56" t="s">
        <v>30</v>
      </c>
      <c r="D56" t="b">
        <v>0</v>
      </c>
      <c r="F56">
        <v>1</v>
      </c>
      <c r="G56">
        <v>1</v>
      </c>
      <c r="H56" t="s">
        <v>29</v>
      </c>
      <c r="I56">
        <v>0</v>
      </c>
    </row>
    <row r="57" spans="1:33" x14ac:dyDescent="0.25">
      <c r="A57" t="s">
        <v>115</v>
      </c>
      <c r="B57" t="s">
        <v>114</v>
      </c>
      <c r="C57" t="s">
        <v>50</v>
      </c>
      <c r="D57" t="b">
        <v>1</v>
      </c>
      <c r="E57" t="s">
        <v>33</v>
      </c>
      <c r="F57">
        <v>1</v>
      </c>
      <c r="G57">
        <v>1</v>
      </c>
      <c r="H57" t="s">
        <v>116</v>
      </c>
      <c r="I57">
        <v>0</v>
      </c>
    </row>
    <row r="58" spans="1:33" x14ac:dyDescent="0.25">
      <c r="A58" t="s">
        <v>117</v>
      </c>
      <c r="B58" t="s">
        <v>114</v>
      </c>
      <c r="C58" t="s">
        <v>50</v>
      </c>
      <c r="D58" t="b">
        <v>1</v>
      </c>
      <c r="E58" t="s">
        <v>33</v>
      </c>
      <c r="F58">
        <v>1</v>
      </c>
      <c r="G58">
        <v>1</v>
      </c>
      <c r="H58" t="s">
        <v>118</v>
      </c>
      <c r="I58">
        <v>7</v>
      </c>
      <c r="J58" t="s">
        <v>1257</v>
      </c>
      <c r="K58" t="s">
        <v>1258</v>
      </c>
      <c r="L58" t="s">
        <v>1259</v>
      </c>
      <c r="M58" t="s">
        <v>1260</v>
      </c>
      <c r="N58" t="s">
        <v>1261</v>
      </c>
      <c r="O58" t="s">
        <v>1262</v>
      </c>
      <c r="P58" t="s">
        <v>1263</v>
      </c>
    </row>
    <row r="59" spans="1:33" x14ac:dyDescent="0.25">
      <c r="A59" t="s">
        <v>119</v>
      </c>
      <c r="B59" t="s">
        <v>30</v>
      </c>
      <c r="C59" t="s">
        <v>28</v>
      </c>
      <c r="D59" t="b">
        <v>0</v>
      </c>
      <c r="F59">
        <v>1</v>
      </c>
      <c r="G59">
        <v>1</v>
      </c>
      <c r="H59" t="s">
        <v>120</v>
      </c>
      <c r="I59">
        <v>0</v>
      </c>
    </row>
    <row r="60" spans="1:33" x14ac:dyDescent="0.25">
      <c r="A60" t="s">
        <v>121</v>
      </c>
      <c r="B60" t="s">
        <v>119</v>
      </c>
      <c r="C60" t="s">
        <v>30</v>
      </c>
      <c r="D60" t="b">
        <v>1</v>
      </c>
      <c r="E60" t="s">
        <v>55</v>
      </c>
      <c r="F60">
        <v>1</v>
      </c>
      <c r="G60">
        <v>1</v>
      </c>
      <c r="H60" t="s">
        <v>122</v>
      </c>
      <c r="I60">
        <v>0</v>
      </c>
    </row>
    <row r="61" spans="1:33" x14ac:dyDescent="0.25">
      <c r="A61" t="s">
        <v>123</v>
      </c>
      <c r="B61" t="s">
        <v>119</v>
      </c>
      <c r="C61" t="s">
        <v>30</v>
      </c>
      <c r="D61" t="b">
        <v>0</v>
      </c>
      <c r="F61">
        <v>1</v>
      </c>
      <c r="G61">
        <v>1</v>
      </c>
      <c r="H61" t="s">
        <v>29</v>
      </c>
      <c r="I61">
        <v>0</v>
      </c>
    </row>
    <row r="62" spans="1:33" x14ac:dyDescent="0.25">
      <c r="A62" t="s">
        <v>124</v>
      </c>
      <c r="B62" t="s">
        <v>123</v>
      </c>
      <c r="C62" t="s">
        <v>119</v>
      </c>
      <c r="D62" t="b">
        <v>0</v>
      </c>
      <c r="F62">
        <v>1</v>
      </c>
      <c r="G62" t="s">
        <v>125</v>
      </c>
      <c r="H62" t="s">
        <v>29</v>
      </c>
      <c r="I62">
        <v>0</v>
      </c>
    </row>
    <row r="63" spans="1:33" x14ac:dyDescent="0.25">
      <c r="A63" t="s">
        <v>126</v>
      </c>
      <c r="B63" t="s">
        <v>124</v>
      </c>
      <c r="C63" t="s">
        <v>123</v>
      </c>
      <c r="D63" t="b">
        <v>1</v>
      </c>
      <c r="E63" t="s">
        <v>33</v>
      </c>
      <c r="F63">
        <v>0</v>
      </c>
      <c r="G63">
        <v>1</v>
      </c>
      <c r="H63" t="s">
        <v>127</v>
      </c>
      <c r="I63">
        <v>0</v>
      </c>
    </row>
    <row r="64" spans="1:33" x14ac:dyDescent="0.25">
      <c r="A64" t="s">
        <v>128</v>
      </c>
      <c r="B64" t="s">
        <v>124</v>
      </c>
      <c r="C64" t="s">
        <v>123</v>
      </c>
      <c r="D64" t="b">
        <v>1</v>
      </c>
      <c r="E64" t="s">
        <v>33</v>
      </c>
      <c r="F64">
        <v>1</v>
      </c>
      <c r="G64">
        <v>1</v>
      </c>
      <c r="H64" t="s">
        <v>129</v>
      </c>
      <c r="I64">
        <v>6</v>
      </c>
      <c r="J64" t="s">
        <v>1264</v>
      </c>
      <c r="K64" t="s">
        <v>1265</v>
      </c>
      <c r="L64" t="s">
        <v>1266</v>
      </c>
      <c r="M64" t="s">
        <v>1267</v>
      </c>
      <c r="N64" t="s">
        <v>1268</v>
      </c>
      <c r="O64" t="s">
        <v>1269</v>
      </c>
    </row>
    <row r="65" spans="1:15" x14ac:dyDescent="0.25">
      <c r="A65" t="s">
        <v>130</v>
      </c>
      <c r="B65" t="s">
        <v>124</v>
      </c>
      <c r="C65" t="s">
        <v>123</v>
      </c>
      <c r="D65" t="b">
        <v>1</v>
      </c>
      <c r="E65" t="s">
        <v>33</v>
      </c>
      <c r="F65">
        <v>1</v>
      </c>
      <c r="G65">
        <v>1</v>
      </c>
      <c r="H65" t="s">
        <v>131</v>
      </c>
      <c r="I65">
        <v>6</v>
      </c>
      <c r="J65" t="s">
        <v>1264</v>
      </c>
      <c r="K65" t="s">
        <v>1265</v>
      </c>
      <c r="L65" t="s">
        <v>1266</v>
      </c>
      <c r="M65" t="s">
        <v>1267</v>
      </c>
      <c r="N65" t="s">
        <v>1268</v>
      </c>
      <c r="O65" t="s">
        <v>1269</v>
      </c>
    </row>
    <row r="66" spans="1:15" x14ac:dyDescent="0.25">
      <c r="A66" t="s">
        <v>132</v>
      </c>
      <c r="B66" t="s">
        <v>123</v>
      </c>
      <c r="C66" t="s">
        <v>119</v>
      </c>
      <c r="D66" t="b">
        <v>0</v>
      </c>
      <c r="F66">
        <v>1</v>
      </c>
      <c r="G66" t="s">
        <v>125</v>
      </c>
      <c r="H66" t="s">
        <v>29</v>
      </c>
      <c r="I66">
        <v>0</v>
      </c>
    </row>
    <row r="67" spans="1:15" x14ac:dyDescent="0.25">
      <c r="A67" t="s">
        <v>126</v>
      </c>
      <c r="B67" t="s">
        <v>132</v>
      </c>
      <c r="C67" t="s">
        <v>123</v>
      </c>
      <c r="D67" t="b">
        <v>1</v>
      </c>
      <c r="E67" t="s">
        <v>33</v>
      </c>
      <c r="F67">
        <v>0</v>
      </c>
      <c r="G67">
        <v>1</v>
      </c>
      <c r="H67" t="s">
        <v>127</v>
      </c>
      <c r="I67">
        <v>0</v>
      </c>
    </row>
    <row r="68" spans="1:15" x14ac:dyDescent="0.25">
      <c r="A68" t="s">
        <v>128</v>
      </c>
      <c r="B68" t="s">
        <v>132</v>
      </c>
      <c r="C68" t="s">
        <v>123</v>
      </c>
      <c r="D68" t="b">
        <v>1</v>
      </c>
      <c r="E68" t="s">
        <v>33</v>
      </c>
      <c r="F68">
        <v>1</v>
      </c>
      <c r="G68">
        <v>1</v>
      </c>
      <c r="H68" t="s">
        <v>129</v>
      </c>
      <c r="I68">
        <v>6</v>
      </c>
      <c r="J68" t="s">
        <v>1264</v>
      </c>
      <c r="K68" t="s">
        <v>1265</v>
      </c>
      <c r="L68" t="s">
        <v>1266</v>
      </c>
      <c r="M68" t="s">
        <v>1267</v>
      </c>
      <c r="N68" t="s">
        <v>1268</v>
      </c>
      <c r="O68" t="s">
        <v>1269</v>
      </c>
    </row>
    <row r="69" spans="1:15" x14ac:dyDescent="0.25">
      <c r="A69" t="s">
        <v>130</v>
      </c>
      <c r="B69" t="s">
        <v>132</v>
      </c>
      <c r="C69" t="s">
        <v>123</v>
      </c>
      <c r="D69" t="b">
        <v>1</v>
      </c>
      <c r="E69" t="s">
        <v>33</v>
      </c>
      <c r="F69">
        <v>1</v>
      </c>
      <c r="G69">
        <v>1</v>
      </c>
      <c r="H69" t="s">
        <v>131</v>
      </c>
      <c r="I69">
        <v>6</v>
      </c>
      <c r="J69" t="s">
        <v>1264</v>
      </c>
      <c r="K69" t="s">
        <v>1265</v>
      </c>
      <c r="L69" t="s">
        <v>1266</v>
      </c>
      <c r="M69" t="s">
        <v>1267</v>
      </c>
      <c r="N69" t="s">
        <v>1268</v>
      </c>
      <c r="O69" t="s">
        <v>1269</v>
      </c>
    </row>
    <row r="70" spans="1:15" x14ac:dyDescent="0.25">
      <c r="A70" t="s">
        <v>133</v>
      </c>
      <c r="B70" t="s">
        <v>123</v>
      </c>
      <c r="C70" t="s">
        <v>119</v>
      </c>
      <c r="D70" t="b">
        <v>0</v>
      </c>
      <c r="F70">
        <v>1</v>
      </c>
      <c r="G70" t="s">
        <v>125</v>
      </c>
      <c r="H70" t="s">
        <v>29</v>
      </c>
      <c r="I70">
        <v>0</v>
      </c>
    </row>
    <row r="71" spans="1:15" x14ac:dyDescent="0.25">
      <c r="A71" t="s">
        <v>126</v>
      </c>
      <c r="B71" t="s">
        <v>133</v>
      </c>
      <c r="C71" t="s">
        <v>123</v>
      </c>
      <c r="D71" t="b">
        <v>1</v>
      </c>
      <c r="E71" t="s">
        <v>33</v>
      </c>
      <c r="F71">
        <v>0</v>
      </c>
      <c r="G71">
        <v>1</v>
      </c>
      <c r="H71" t="s">
        <v>127</v>
      </c>
      <c r="I71">
        <v>0</v>
      </c>
    </row>
    <row r="72" spans="1:15" x14ac:dyDescent="0.25">
      <c r="A72" t="s">
        <v>128</v>
      </c>
      <c r="B72" t="s">
        <v>133</v>
      </c>
      <c r="C72" t="s">
        <v>123</v>
      </c>
      <c r="D72" t="b">
        <v>1</v>
      </c>
      <c r="E72" t="s">
        <v>33</v>
      </c>
      <c r="F72">
        <v>1</v>
      </c>
      <c r="G72">
        <v>1</v>
      </c>
      <c r="H72" t="s">
        <v>129</v>
      </c>
      <c r="I72">
        <v>6</v>
      </c>
      <c r="J72" t="s">
        <v>1264</v>
      </c>
      <c r="K72" t="s">
        <v>1265</v>
      </c>
      <c r="L72" t="s">
        <v>1266</v>
      </c>
      <c r="M72" t="s">
        <v>1267</v>
      </c>
      <c r="N72" t="s">
        <v>1268</v>
      </c>
      <c r="O72" t="s">
        <v>1269</v>
      </c>
    </row>
    <row r="73" spans="1:15" x14ac:dyDescent="0.25">
      <c r="A73" t="s">
        <v>130</v>
      </c>
      <c r="B73" t="s">
        <v>133</v>
      </c>
      <c r="C73" t="s">
        <v>123</v>
      </c>
      <c r="D73" t="b">
        <v>1</v>
      </c>
      <c r="E73" t="s">
        <v>33</v>
      </c>
      <c r="F73">
        <v>1</v>
      </c>
      <c r="G73">
        <v>1</v>
      </c>
      <c r="H73" t="s">
        <v>131</v>
      </c>
      <c r="I73">
        <v>6</v>
      </c>
      <c r="J73" t="s">
        <v>1264</v>
      </c>
      <c r="K73" t="s">
        <v>1265</v>
      </c>
      <c r="L73" t="s">
        <v>1266</v>
      </c>
      <c r="M73" t="s">
        <v>1267</v>
      </c>
      <c r="N73" t="s">
        <v>1268</v>
      </c>
      <c r="O73" t="s">
        <v>1269</v>
      </c>
    </row>
    <row r="74" spans="1:15" x14ac:dyDescent="0.25">
      <c r="A74" t="s">
        <v>134</v>
      </c>
      <c r="B74" t="s">
        <v>123</v>
      </c>
      <c r="C74" t="s">
        <v>119</v>
      </c>
      <c r="D74" t="b">
        <v>0</v>
      </c>
      <c r="F74">
        <v>1</v>
      </c>
      <c r="G74">
        <v>1</v>
      </c>
      <c r="H74" t="s">
        <v>29</v>
      </c>
      <c r="I74">
        <v>0</v>
      </c>
    </row>
    <row r="75" spans="1:15" x14ac:dyDescent="0.25">
      <c r="A75" t="s">
        <v>126</v>
      </c>
      <c r="B75" t="s">
        <v>134</v>
      </c>
      <c r="C75" t="s">
        <v>123</v>
      </c>
      <c r="D75" t="b">
        <v>1</v>
      </c>
      <c r="E75" t="s">
        <v>33</v>
      </c>
      <c r="F75">
        <v>0</v>
      </c>
      <c r="G75">
        <v>1</v>
      </c>
      <c r="H75" t="s">
        <v>127</v>
      </c>
      <c r="I75">
        <v>0</v>
      </c>
    </row>
    <row r="76" spans="1:15" x14ac:dyDescent="0.25">
      <c r="A76" t="s">
        <v>128</v>
      </c>
      <c r="B76" t="s">
        <v>134</v>
      </c>
      <c r="C76" t="s">
        <v>123</v>
      </c>
      <c r="D76" t="b">
        <v>1</v>
      </c>
      <c r="E76" t="s">
        <v>33</v>
      </c>
      <c r="F76">
        <v>1</v>
      </c>
      <c r="G76">
        <v>1</v>
      </c>
      <c r="H76" t="s">
        <v>129</v>
      </c>
      <c r="I76">
        <v>6</v>
      </c>
      <c r="J76" t="s">
        <v>1264</v>
      </c>
      <c r="K76" t="s">
        <v>1265</v>
      </c>
      <c r="L76" t="s">
        <v>1266</v>
      </c>
      <c r="M76" t="s">
        <v>1267</v>
      </c>
      <c r="N76" t="s">
        <v>1268</v>
      </c>
      <c r="O76" t="s">
        <v>1269</v>
      </c>
    </row>
    <row r="77" spans="1:15" x14ac:dyDescent="0.25">
      <c r="A77" t="s">
        <v>130</v>
      </c>
      <c r="B77" t="s">
        <v>134</v>
      </c>
      <c r="C77" t="s">
        <v>123</v>
      </c>
      <c r="D77" t="b">
        <v>1</v>
      </c>
      <c r="E77" t="s">
        <v>33</v>
      </c>
      <c r="F77">
        <v>1</v>
      </c>
      <c r="G77">
        <v>1</v>
      </c>
      <c r="H77" t="s">
        <v>131</v>
      </c>
      <c r="I77">
        <v>6</v>
      </c>
      <c r="J77" t="s">
        <v>1264</v>
      </c>
      <c r="K77" t="s">
        <v>1265</v>
      </c>
      <c r="L77" t="s">
        <v>1266</v>
      </c>
      <c r="M77" t="s">
        <v>1267</v>
      </c>
      <c r="N77" t="s">
        <v>1268</v>
      </c>
      <c r="O77" t="s">
        <v>1269</v>
      </c>
    </row>
    <row r="78" spans="1:15" x14ac:dyDescent="0.25">
      <c r="A78" t="s">
        <v>135</v>
      </c>
      <c r="B78" t="s">
        <v>123</v>
      </c>
      <c r="C78" t="s">
        <v>119</v>
      </c>
      <c r="D78" t="b">
        <v>0</v>
      </c>
      <c r="F78">
        <v>1</v>
      </c>
      <c r="G78">
        <v>2</v>
      </c>
      <c r="H78" t="s">
        <v>29</v>
      </c>
      <c r="I78">
        <v>0</v>
      </c>
    </row>
    <row r="79" spans="1:15" x14ac:dyDescent="0.25">
      <c r="A79" t="s">
        <v>126</v>
      </c>
      <c r="B79" t="s">
        <v>135</v>
      </c>
      <c r="C79" t="s">
        <v>123</v>
      </c>
      <c r="D79" t="b">
        <v>1</v>
      </c>
      <c r="E79" t="s">
        <v>33</v>
      </c>
      <c r="F79">
        <v>0</v>
      </c>
      <c r="G79">
        <v>1</v>
      </c>
      <c r="H79" t="s">
        <v>127</v>
      </c>
      <c r="I79">
        <v>0</v>
      </c>
    </row>
    <row r="80" spans="1:15" x14ac:dyDescent="0.25">
      <c r="A80" t="s">
        <v>128</v>
      </c>
      <c r="B80" t="s">
        <v>135</v>
      </c>
      <c r="C80" t="s">
        <v>123</v>
      </c>
      <c r="D80" t="b">
        <v>1</v>
      </c>
      <c r="E80" t="s">
        <v>33</v>
      </c>
      <c r="F80">
        <v>1</v>
      </c>
      <c r="G80">
        <v>1</v>
      </c>
      <c r="H80" t="s">
        <v>129</v>
      </c>
      <c r="I80">
        <v>6</v>
      </c>
      <c r="J80" t="s">
        <v>1264</v>
      </c>
      <c r="K80" t="s">
        <v>1265</v>
      </c>
      <c r="L80" t="s">
        <v>1266</v>
      </c>
      <c r="M80" t="s">
        <v>1267</v>
      </c>
      <c r="N80" t="s">
        <v>1268</v>
      </c>
      <c r="O80" t="s">
        <v>1269</v>
      </c>
    </row>
    <row r="81" spans="1:15" x14ac:dyDescent="0.25">
      <c r="A81" t="s">
        <v>130</v>
      </c>
      <c r="B81" t="s">
        <v>135</v>
      </c>
      <c r="C81" t="s">
        <v>123</v>
      </c>
      <c r="D81" t="b">
        <v>1</v>
      </c>
      <c r="E81" t="s">
        <v>33</v>
      </c>
      <c r="F81">
        <v>1</v>
      </c>
      <c r="G81">
        <v>1</v>
      </c>
      <c r="H81" t="s">
        <v>131</v>
      </c>
      <c r="I81">
        <v>6</v>
      </c>
      <c r="J81" t="s">
        <v>1264</v>
      </c>
      <c r="K81" t="s">
        <v>1265</v>
      </c>
      <c r="L81" t="s">
        <v>1266</v>
      </c>
      <c r="M81" t="s">
        <v>1267</v>
      </c>
      <c r="N81" t="s">
        <v>1268</v>
      </c>
      <c r="O81" t="s">
        <v>1269</v>
      </c>
    </row>
    <row r="82" spans="1:15" x14ac:dyDescent="0.25">
      <c r="A82" t="s">
        <v>136</v>
      </c>
      <c r="B82" t="s">
        <v>123</v>
      </c>
      <c r="C82" t="s">
        <v>119</v>
      </c>
      <c r="D82" t="b">
        <v>0</v>
      </c>
      <c r="F82">
        <v>1</v>
      </c>
      <c r="G82">
        <v>2</v>
      </c>
      <c r="H82" t="s">
        <v>29</v>
      </c>
      <c r="I82">
        <v>0</v>
      </c>
    </row>
    <row r="83" spans="1:15" x14ac:dyDescent="0.25">
      <c r="A83" t="s">
        <v>126</v>
      </c>
      <c r="B83" t="s">
        <v>136</v>
      </c>
      <c r="C83" t="s">
        <v>123</v>
      </c>
      <c r="D83" t="b">
        <v>1</v>
      </c>
      <c r="E83" t="s">
        <v>33</v>
      </c>
      <c r="F83">
        <v>0</v>
      </c>
      <c r="G83">
        <v>1</v>
      </c>
      <c r="H83" t="s">
        <v>127</v>
      </c>
      <c r="I83">
        <v>0</v>
      </c>
    </row>
    <row r="84" spans="1:15" x14ac:dyDescent="0.25">
      <c r="A84" t="s">
        <v>128</v>
      </c>
      <c r="B84" t="s">
        <v>136</v>
      </c>
      <c r="C84" t="s">
        <v>123</v>
      </c>
      <c r="D84" t="b">
        <v>1</v>
      </c>
      <c r="E84" t="s">
        <v>33</v>
      </c>
      <c r="F84">
        <v>1</v>
      </c>
      <c r="G84">
        <v>1</v>
      </c>
      <c r="H84" t="s">
        <v>129</v>
      </c>
      <c r="I84">
        <v>6</v>
      </c>
      <c r="J84" t="s">
        <v>1264</v>
      </c>
      <c r="K84" t="s">
        <v>1265</v>
      </c>
      <c r="L84" t="s">
        <v>1266</v>
      </c>
      <c r="M84" t="s">
        <v>1267</v>
      </c>
      <c r="N84" t="s">
        <v>1268</v>
      </c>
      <c r="O84" t="s">
        <v>1269</v>
      </c>
    </row>
    <row r="85" spans="1:15" x14ac:dyDescent="0.25">
      <c r="A85" t="s">
        <v>130</v>
      </c>
      <c r="B85" t="s">
        <v>136</v>
      </c>
      <c r="C85" t="s">
        <v>123</v>
      </c>
      <c r="D85" t="b">
        <v>1</v>
      </c>
      <c r="E85" t="s">
        <v>33</v>
      </c>
      <c r="F85">
        <v>1</v>
      </c>
      <c r="G85">
        <v>1</v>
      </c>
      <c r="H85" t="s">
        <v>131</v>
      </c>
      <c r="I85">
        <v>6</v>
      </c>
      <c r="J85" t="s">
        <v>1264</v>
      </c>
      <c r="K85" t="s">
        <v>1265</v>
      </c>
      <c r="L85" t="s">
        <v>1266</v>
      </c>
      <c r="M85" t="s">
        <v>1267</v>
      </c>
      <c r="N85" t="s">
        <v>1268</v>
      </c>
      <c r="O85" t="s">
        <v>1269</v>
      </c>
    </row>
    <row r="86" spans="1:15" x14ac:dyDescent="0.25">
      <c r="A86" t="s">
        <v>137</v>
      </c>
      <c r="B86" t="s">
        <v>123</v>
      </c>
      <c r="C86" t="s">
        <v>119</v>
      </c>
      <c r="D86" t="b">
        <v>0</v>
      </c>
      <c r="F86">
        <v>1</v>
      </c>
      <c r="G86">
        <v>1</v>
      </c>
      <c r="H86" t="s">
        <v>29</v>
      </c>
      <c r="I86">
        <v>0</v>
      </c>
    </row>
    <row r="87" spans="1:15" x14ac:dyDescent="0.25">
      <c r="A87" t="s">
        <v>126</v>
      </c>
      <c r="B87" t="s">
        <v>137</v>
      </c>
      <c r="C87" t="s">
        <v>123</v>
      </c>
      <c r="D87" t="b">
        <v>1</v>
      </c>
      <c r="E87" t="s">
        <v>33</v>
      </c>
      <c r="F87">
        <v>0</v>
      </c>
      <c r="G87">
        <v>1</v>
      </c>
      <c r="H87" t="s">
        <v>127</v>
      </c>
      <c r="I87">
        <v>0</v>
      </c>
    </row>
    <row r="88" spans="1:15" x14ac:dyDescent="0.25">
      <c r="A88" t="s">
        <v>128</v>
      </c>
      <c r="B88" t="s">
        <v>137</v>
      </c>
      <c r="C88" t="s">
        <v>123</v>
      </c>
      <c r="D88" t="b">
        <v>1</v>
      </c>
      <c r="E88" t="s">
        <v>33</v>
      </c>
      <c r="F88">
        <v>1</v>
      </c>
      <c r="G88">
        <v>1</v>
      </c>
      <c r="H88" t="s">
        <v>129</v>
      </c>
      <c r="I88">
        <v>6</v>
      </c>
      <c r="J88" t="s">
        <v>1264</v>
      </c>
      <c r="K88" t="s">
        <v>1265</v>
      </c>
      <c r="L88" t="s">
        <v>1266</v>
      </c>
      <c r="M88" t="s">
        <v>1267</v>
      </c>
      <c r="N88" t="s">
        <v>1268</v>
      </c>
      <c r="O88" t="s">
        <v>1269</v>
      </c>
    </row>
    <row r="89" spans="1:15" x14ac:dyDescent="0.25">
      <c r="A89" t="s">
        <v>130</v>
      </c>
      <c r="B89" t="s">
        <v>137</v>
      </c>
      <c r="C89" t="s">
        <v>123</v>
      </c>
      <c r="D89" t="b">
        <v>1</v>
      </c>
      <c r="E89" t="s">
        <v>33</v>
      </c>
      <c r="F89">
        <v>1</v>
      </c>
      <c r="G89">
        <v>1</v>
      </c>
      <c r="H89" t="s">
        <v>131</v>
      </c>
      <c r="I89">
        <v>6</v>
      </c>
      <c r="J89" t="s">
        <v>1264</v>
      </c>
      <c r="K89" t="s">
        <v>1265</v>
      </c>
      <c r="L89" t="s">
        <v>1266</v>
      </c>
      <c r="M89" t="s">
        <v>1267</v>
      </c>
      <c r="N89" t="s">
        <v>1268</v>
      </c>
      <c r="O89" t="s">
        <v>1269</v>
      </c>
    </row>
    <row r="90" spans="1:15" x14ac:dyDescent="0.25">
      <c r="A90" t="s">
        <v>138</v>
      </c>
      <c r="B90" t="s">
        <v>123</v>
      </c>
      <c r="C90" t="s">
        <v>119</v>
      </c>
      <c r="D90" t="b">
        <v>0</v>
      </c>
      <c r="F90">
        <v>1</v>
      </c>
      <c r="G90">
        <v>1</v>
      </c>
      <c r="H90" t="s">
        <v>29</v>
      </c>
      <c r="I90">
        <v>0</v>
      </c>
    </row>
    <row r="91" spans="1:15" x14ac:dyDescent="0.25">
      <c r="A91" t="s">
        <v>126</v>
      </c>
      <c r="B91" t="s">
        <v>138</v>
      </c>
      <c r="C91" t="s">
        <v>123</v>
      </c>
      <c r="D91" t="b">
        <v>1</v>
      </c>
      <c r="E91" t="s">
        <v>33</v>
      </c>
      <c r="F91">
        <v>0</v>
      </c>
      <c r="G91">
        <v>1</v>
      </c>
      <c r="H91" t="s">
        <v>127</v>
      </c>
      <c r="I91">
        <v>0</v>
      </c>
    </row>
    <row r="92" spans="1:15" x14ac:dyDescent="0.25">
      <c r="A92" t="s">
        <v>128</v>
      </c>
      <c r="B92" t="s">
        <v>138</v>
      </c>
      <c r="C92" t="s">
        <v>123</v>
      </c>
      <c r="D92" t="b">
        <v>1</v>
      </c>
      <c r="E92" t="s">
        <v>33</v>
      </c>
      <c r="F92">
        <v>1</v>
      </c>
      <c r="G92">
        <v>1</v>
      </c>
      <c r="H92" t="s">
        <v>129</v>
      </c>
      <c r="I92">
        <v>6</v>
      </c>
      <c r="J92" t="s">
        <v>1264</v>
      </c>
      <c r="K92" t="s">
        <v>1265</v>
      </c>
      <c r="L92" t="s">
        <v>1266</v>
      </c>
      <c r="M92" t="s">
        <v>1267</v>
      </c>
      <c r="N92" t="s">
        <v>1268</v>
      </c>
      <c r="O92" t="s">
        <v>1269</v>
      </c>
    </row>
    <row r="93" spans="1:15" x14ac:dyDescent="0.25">
      <c r="A93" t="s">
        <v>130</v>
      </c>
      <c r="B93" t="s">
        <v>138</v>
      </c>
      <c r="C93" t="s">
        <v>123</v>
      </c>
      <c r="D93" t="b">
        <v>1</v>
      </c>
      <c r="E93" t="s">
        <v>33</v>
      </c>
      <c r="F93">
        <v>1</v>
      </c>
      <c r="G93">
        <v>1</v>
      </c>
      <c r="H93" t="s">
        <v>131</v>
      </c>
      <c r="I93">
        <v>6</v>
      </c>
      <c r="J93" t="s">
        <v>1264</v>
      </c>
      <c r="K93" t="s">
        <v>1265</v>
      </c>
      <c r="L93" t="s">
        <v>1266</v>
      </c>
      <c r="M93" t="s">
        <v>1267</v>
      </c>
      <c r="N93" t="s">
        <v>1268</v>
      </c>
      <c r="O93" t="s">
        <v>1269</v>
      </c>
    </row>
    <row r="94" spans="1:15" x14ac:dyDescent="0.25">
      <c r="A94" t="s">
        <v>139</v>
      </c>
      <c r="B94" t="s">
        <v>123</v>
      </c>
      <c r="C94" t="s">
        <v>119</v>
      </c>
      <c r="D94" t="b">
        <v>0</v>
      </c>
      <c r="F94">
        <v>1</v>
      </c>
      <c r="G94">
        <v>1</v>
      </c>
      <c r="H94" t="s">
        <v>29</v>
      </c>
      <c r="I94">
        <v>0</v>
      </c>
    </row>
    <row r="95" spans="1:15" x14ac:dyDescent="0.25">
      <c r="A95" t="s">
        <v>126</v>
      </c>
      <c r="B95" t="s">
        <v>139</v>
      </c>
      <c r="C95" t="s">
        <v>123</v>
      </c>
      <c r="D95" t="b">
        <v>1</v>
      </c>
      <c r="E95" t="s">
        <v>33</v>
      </c>
      <c r="F95">
        <v>0</v>
      </c>
      <c r="G95">
        <v>1</v>
      </c>
      <c r="H95" t="s">
        <v>127</v>
      </c>
      <c r="I95">
        <v>0</v>
      </c>
    </row>
    <row r="96" spans="1:15" x14ac:dyDescent="0.25">
      <c r="A96" t="s">
        <v>128</v>
      </c>
      <c r="B96" t="s">
        <v>139</v>
      </c>
      <c r="C96" t="s">
        <v>123</v>
      </c>
      <c r="D96" t="b">
        <v>1</v>
      </c>
      <c r="E96" t="s">
        <v>33</v>
      </c>
      <c r="F96">
        <v>1</v>
      </c>
      <c r="G96">
        <v>1</v>
      </c>
      <c r="H96" t="s">
        <v>129</v>
      </c>
      <c r="I96">
        <v>6</v>
      </c>
      <c r="J96" t="s">
        <v>1264</v>
      </c>
      <c r="K96" t="s">
        <v>1265</v>
      </c>
      <c r="L96" t="s">
        <v>1266</v>
      </c>
      <c r="M96" t="s">
        <v>1267</v>
      </c>
      <c r="N96" t="s">
        <v>1268</v>
      </c>
      <c r="O96" t="s">
        <v>1269</v>
      </c>
    </row>
    <row r="97" spans="1:15" x14ac:dyDescent="0.25">
      <c r="A97" t="s">
        <v>130</v>
      </c>
      <c r="B97" t="s">
        <v>139</v>
      </c>
      <c r="C97" t="s">
        <v>123</v>
      </c>
      <c r="D97" t="b">
        <v>1</v>
      </c>
      <c r="E97" t="s">
        <v>33</v>
      </c>
      <c r="F97">
        <v>1</v>
      </c>
      <c r="G97">
        <v>1</v>
      </c>
      <c r="H97" t="s">
        <v>131</v>
      </c>
      <c r="I97">
        <v>6</v>
      </c>
      <c r="J97" t="s">
        <v>1264</v>
      </c>
      <c r="K97" t="s">
        <v>1265</v>
      </c>
      <c r="L97" t="s">
        <v>1266</v>
      </c>
      <c r="M97" t="s">
        <v>1267</v>
      </c>
      <c r="N97" t="s">
        <v>1268</v>
      </c>
      <c r="O97" t="s">
        <v>1269</v>
      </c>
    </row>
    <row r="98" spans="1:15" x14ac:dyDescent="0.25">
      <c r="A98" t="s">
        <v>140</v>
      </c>
      <c r="B98" t="s">
        <v>123</v>
      </c>
      <c r="C98" t="s">
        <v>119</v>
      </c>
      <c r="D98" t="b">
        <v>0</v>
      </c>
      <c r="F98">
        <v>0</v>
      </c>
      <c r="G98">
        <v>1</v>
      </c>
      <c r="H98" t="s">
        <v>29</v>
      </c>
      <c r="I98">
        <v>0</v>
      </c>
    </row>
    <row r="99" spans="1:15" x14ac:dyDescent="0.25">
      <c r="A99" t="s">
        <v>126</v>
      </c>
      <c r="B99" t="s">
        <v>140</v>
      </c>
      <c r="C99" t="s">
        <v>123</v>
      </c>
      <c r="D99" t="b">
        <v>1</v>
      </c>
      <c r="E99" t="s">
        <v>33</v>
      </c>
      <c r="F99">
        <v>0</v>
      </c>
      <c r="G99">
        <v>1</v>
      </c>
      <c r="H99" t="s">
        <v>127</v>
      </c>
      <c r="I99">
        <v>0</v>
      </c>
    </row>
    <row r="100" spans="1:15" x14ac:dyDescent="0.25">
      <c r="A100" t="s">
        <v>128</v>
      </c>
      <c r="B100" t="s">
        <v>140</v>
      </c>
      <c r="C100" t="s">
        <v>123</v>
      </c>
      <c r="D100" t="b">
        <v>1</v>
      </c>
      <c r="E100" t="s">
        <v>33</v>
      </c>
      <c r="F100">
        <v>1</v>
      </c>
      <c r="G100">
        <v>1</v>
      </c>
      <c r="H100" t="s">
        <v>129</v>
      </c>
      <c r="I100">
        <v>6</v>
      </c>
      <c r="J100" t="s">
        <v>1264</v>
      </c>
      <c r="K100" t="s">
        <v>1265</v>
      </c>
      <c r="L100" t="s">
        <v>1266</v>
      </c>
      <c r="M100" t="s">
        <v>1267</v>
      </c>
      <c r="N100" t="s">
        <v>1268</v>
      </c>
      <c r="O100" t="s">
        <v>1269</v>
      </c>
    </row>
    <row r="101" spans="1:15" x14ac:dyDescent="0.25">
      <c r="A101" t="s">
        <v>130</v>
      </c>
      <c r="B101" t="s">
        <v>140</v>
      </c>
      <c r="C101" t="s">
        <v>123</v>
      </c>
      <c r="D101" t="b">
        <v>1</v>
      </c>
      <c r="E101" t="s">
        <v>33</v>
      </c>
      <c r="F101">
        <v>1</v>
      </c>
      <c r="G101">
        <v>1</v>
      </c>
      <c r="H101" t="s">
        <v>131</v>
      </c>
      <c r="I101">
        <v>6</v>
      </c>
      <c r="J101" t="s">
        <v>1264</v>
      </c>
      <c r="K101" t="s">
        <v>1265</v>
      </c>
      <c r="L101" t="s">
        <v>1266</v>
      </c>
      <c r="M101" t="s">
        <v>1267</v>
      </c>
      <c r="N101" t="s">
        <v>1268</v>
      </c>
      <c r="O101" t="s">
        <v>1269</v>
      </c>
    </row>
    <row r="102" spans="1:15" x14ac:dyDescent="0.25">
      <c r="A102" t="s">
        <v>141</v>
      </c>
      <c r="B102" t="s">
        <v>123</v>
      </c>
      <c r="C102" t="s">
        <v>119</v>
      </c>
      <c r="D102" t="b">
        <v>1</v>
      </c>
      <c r="E102" t="s">
        <v>142</v>
      </c>
      <c r="F102">
        <v>0</v>
      </c>
      <c r="G102">
        <v>1</v>
      </c>
      <c r="H102" t="s">
        <v>143</v>
      </c>
      <c r="I102">
        <v>4</v>
      </c>
      <c r="J102" t="s">
        <v>1270</v>
      </c>
      <c r="K102" t="s">
        <v>918</v>
      </c>
      <c r="L102" t="s">
        <v>1271</v>
      </c>
      <c r="M102" t="s">
        <v>919</v>
      </c>
    </row>
    <row r="103" spans="1:15" x14ac:dyDescent="0.25">
      <c r="A103" t="s">
        <v>144</v>
      </c>
      <c r="B103" t="s">
        <v>123</v>
      </c>
      <c r="C103" t="s">
        <v>119</v>
      </c>
      <c r="D103" t="b">
        <v>1</v>
      </c>
      <c r="E103" t="s">
        <v>142</v>
      </c>
      <c r="F103">
        <v>0</v>
      </c>
      <c r="G103">
        <v>1</v>
      </c>
      <c r="H103" t="s">
        <v>145</v>
      </c>
      <c r="I103">
        <v>4</v>
      </c>
      <c r="J103" t="s">
        <v>1270</v>
      </c>
      <c r="K103" t="s">
        <v>918</v>
      </c>
      <c r="L103" t="s">
        <v>1271</v>
      </c>
      <c r="M103" t="s">
        <v>919</v>
      </c>
    </row>
    <row r="104" spans="1:15" x14ac:dyDescent="0.25">
      <c r="A104" t="s">
        <v>146</v>
      </c>
      <c r="B104" t="s">
        <v>123</v>
      </c>
      <c r="C104" t="s">
        <v>119</v>
      </c>
      <c r="D104" t="b">
        <v>1</v>
      </c>
      <c r="E104" t="s">
        <v>142</v>
      </c>
      <c r="F104">
        <v>0</v>
      </c>
      <c r="G104">
        <v>1</v>
      </c>
      <c r="H104" t="s">
        <v>147</v>
      </c>
      <c r="I104">
        <v>4</v>
      </c>
      <c r="J104" t="s">
        <v>1270</v>
      </c>
      <c r="K104" t="s">
        <v>918</v>
      </c>
      <c r="L104" t="s">
        <v>1271</v>
      </c>
      <c r="M104" t="s">
        <v>919</v>
      </c>
    </row>
    <row r="105" spans="1:15" x14ac:dyDescent="0.25">
      <c r="A105" t="s">
        <v>148</v>
      </c>
      <c r="B105" t="s">
        <v>123</v>
      </c>
      <c r="C105" t="s">
        <v>119</v>
      </c>
      <c r="D105" t="b">
        <v>1</v>
      </c>
      <c r="E105" t="s">
        <v>33</v>
      </c>
      <c r="F105">
        <v>0</v>
      </c>
      <c r="G105">
        <v>1</v>
      </c>
      <c r="H105" t="s">
        <v>149</v>
      </c>
      <c r="I105">
        <v>0</v>
      </c>
    </row>
    <row r="106" spans="1:15" x14ac:dyDescent="0.25">
      <c r="A106" t="s">
        <v>16</v>
      </c>
      <c r="B106" t="s">
        <v>123</v>
      </c>
      <c r="C106" t="s">
        <v>119</v>
      </c>
      <c r="D106" t="b">
        <v>1</v>
      </c>
      <c r="E106" t="s">
        <v>42</v>
      </c>
      <c r="F106">
        <v>0</v>
      </c>
      <c r="G106">
        <v>1</v>
      </c>
      <c r="H106" t="s">
        <v>150</v>
      </c>
      <c r="I106">
        <v>0</v>
      </c>
    </row>
    <row r="107" spans="1:15" x14ac:dyDescent="0.25">
      <c r="A107" t="s">
        <v>151</v>
      </c>
      <c r="B107" t="s">
        <v>123</v>
      </c>
      <c r="C107" t="s">
        <v>119</v>
      </c>
      <c r="D107" t="b">
        <v>1</v>
      </c>
      <c r="E107" t="s">
        <v>152</v>
      </c>
      <c r="F107">
        <v>1</v>
      </c>
      <c r="G107">
        <v>1</v>
      </c>
      <c r="H107" t="s">
        <v>153</v>
      </c>
      <c r="I107">
        <v>0</v>
      </c>
    </row>
    <row r="108" spans="1:15" x14ac:dyDescent="0.25">
      <c r="A108" t="s">
        <v>154</v>
      </c>
      <c r="B108" t="s">
        <v>123</v>
      </c>
      <c r="C108" t="s">
        <v>119</v>
      </c>
      <c r="D108" t="b">
        <v>1</v>
      </c>
      <c r="E108" t="s">
        <v>33</v>
      </c>
      <c r="F108">
        <v>1</v>
      </c>
      <c r="G108">
        <v>1</v>
      </c>
      <c r="H108" t="s">
        <v>155</v>
      </c>
      <c r="I108">
        <v>0</v>
      </c>
    </row>
    <row r="109" spans="1:15" x14ac:dyDescent="0.25">
      <c r="A109" t="s">
        <v>156</v>
      </c>
      <c r="B109" t="s">
        <v>123</v>
      </c>
      <c r="C109" t="s">
        <v>119</v>
      </c>
      <c r="D109" t="b">
        <v>1</v>
      </c>
      <c r="E109" t="s">
        <v>142</v>
      </c>
      <c r="F109">
        <v>0</v>
      </c>
      <c r="G109">
        <v>1</v>
      </c>
      <c r="H109" t="s">
        <v>157</v>
      </c>
      <c r="I109">
        <v>4</v>
      </c>
      <c r="J109" t="s">
        <v>1270</v>
      </c>
      <c r="K109" t="s">
        <v>918</v>
      </c>
      <c r="L109" t="s">
        <v>1271</v>
      </c>
      <c r="M109" t="s">
        <v>919</v>
      </c>
    </row>
    <row r="110" spans="1:15" x14ac:dyDescent="0.25">
      <c r="A110" t="s">
        <v>158</v>
      </c>
      <c r="B110" t="s">
        <v>119</v>
      </c>
      <c r="C110" t="s">
        <v>30</v>
      </c>
      <c r="D110" t="b">
        <v>0</v>
      </c>
      <c r="F110">
        <v>1</v>
      </c>
      <c r="G110">
        <v>1</v>
      </c>
      <c r="H110" t="s">
        <v>159</v>
      </c>
      <c r="I110">
        <v>0</v>
      </c>
    </row>
    <row r="111" spans="1:15" x14ac:dyDescent="0.25">
      <c r="A111" t="s">
        <v>160</v>
      </c>
      <c r="B111" t="s">
        <v>158</v>
      </c>
      <c r="C111" t="s">
        <v>119</v>
      </c>
      <c r="D111" t="b">
        <v>1</v>
      </c>
      <c r="E111" t="s">
        <v>152</v>
      </c>
      <c r="F111">
        <v>0</v>
      </c>
      <c r="G111">
        <v>1</v>
      </c>
      <c r="H111" t="s">
        <v>161</v>
      </c>
      <c r="I111">
        <v>0</v>
      </c>
    </row>
    <row r="112" spans="1:15" x14ac:dyDescent="0.25">
      <c r="A112" t="s">
        <v>162</v>
      </c>
      <c r="B112" t="s">
        <v>158</v>
      </c>
      <c r="C112" t="s">
        <v>119</v>
      </c>
      <c r="D112" t="b">
        <v>1</v>
      </c>
      <c r="E112" t="s">
        <v>152</v>
      </c>
      <c r="F112">
        <v>0</v>
      </c>
      <c r="G112">
        <v>1</v>
      </c>
      <c r="H112" t="s">
        <v>163</v>
      </c>
      <c r="I112">
        <v>0</v>
      </c>
    </row>
    <row r="113" spans="1:9" x14ac:dyDescent="0.25">
      <c r="A113" t="s">
        <v>164</v>
      </c>
      <c r="B113" t="s">
        <v>158</v>
      </c>
      <c r="C113" t="s">
        <v>119</v>
      </c>
      <c r="D113" t="b">
        <v>1</v>
      </c>
      <c r="E113" t="s">
        <v>152</v>
      </c>
      <c r="F113">
        <v>0</v>
      </c>
      <c r="G113">
        <v>1</v>
      </c>
      <c r="H113" t="s">
        <v>165</v>
      </c>
      <c r="I113">
        <v>0</v>
      </c>
    </row>
    <row r="114" spans="1:9" x14ac:dyDescent="0.25">
      <c r="A114" t="s">
        <v>166</v>
      </c>
      <c r="B114" t="s">
        <v>158</v>
      </c>
      <c r="C114" t="s">
        <v>119</v>
      </c>
      <c r="D114" t="b">
        <v>1</v>
      </c>
      <c r="E114" t="s">
        <v>152</v>
      </c>
      <c r="F114">
        <v>0</v>
      </c>
      <c r="G114">
        <v>1</v>
      </c>
      <c r="H114" t="s">
        <v>167</v>
      </c>
      <c r="I114">
        <v>0</v>
      </c>
    </row>
    <row r="115" spans="1:9" x14ac:dyDescent="0.25">
      <c r="A115" t="s">
        <v>168</v>
      </c>
      <c r="B115" t="s">
        <v>158</v>
      </c>
      <c r="C115" t="s">
        <v>119</v>
      </c>
      <c r="D115" t="b">
        <v>1</v>
      </c>
      <c r="E115" t="s">
        <v>152</v>
      </c>
      <c r="F115">
        <v>0</v>
      </c>
      <c r="G115">
        <v>1</v>
      </c>
      <c r="H115" t="s">
        <v>169</v>
      </c>
      <c r="I115">
        <v>0</v>
      </c>
    </row>
    <row r="116" spans="1:9" x14ac:dyDescent="0.25">
      <c r="A116" t="s">
        <v>170</v>
      </c>
      <c r="B116" t="s">
        <v>158</v>
      </c>
      <c r="C116" t="s">
        <v>119</v>
      </c>
      <c r="D116" t="b">
        <v>1</v>
      </c>
      <c r="E116" t="s">
        <v>152</v>
      </c>
      <c r="F116">
        <v>0</v>
      </c>
      <c r="G116">
        <v>1</v>
      </c>
      <c r="H116" t="s">
        <v>171</v>
      </c>
      <c r="I116">
        <v>0</v>
      </c>
    </row>
    <row r="117" spans="1:9" x14ac:dyDescent="0.25">
      <c r="A117" t="s">
        <v>172</v>
      </c>
      <c r="B117" t="s">
        <v>158</v>
      </c>
      <c r="C117" t="s">
        <v>119</v>
      </c>
      <c r="D117" t="b">
        <v>1</v>
      </c>
      <c r="E117" t="s">
        <v>42</v>
      </c>
      <c r="F117">
        <v>1</v>
      </c>
      <c r="G117">
        <v>1</v>
      </c>
      <c r="H117" t="s">
        <v>173</v>
      </c>
      <c r="I117">
        <v>0</v>
      </c>
    </row>
    <row r="118" spans="1:9" x14ac:dyDescent="0.25">
      <c r="A118" t="s">
        <v>174</v>
      </c>
      <c r="B118" t="s">
        <v>158</v>
      </c>
      <c r="C118" t="s">
        <v>119</v>
      </c>
      <c r="D118" t="b">
        <v>1</v>
      </c>
      <c r="E118" t="s">
        <v>42</v>
      </c>
      <c r="F118">
        <v>1</v>
      </c>
      <c r="G118">
        <v>1</v>
      </c>
      <c r="H118" t="s">
        <v>175</v>
      </c>
      <c r="I118">
        <v>0</v>
      </c>
    </row>
    <row r="119" spans="1:9" x14ac:dyDescent="0.25">
      <c r="A119" t="s">
        <v>176</v>
      </c>
      <c r="B119" t="s">
        <v>158</v>
      </c>
      <c r="C119" t="s">
        <v>119</v>
      </c>
      <c r="D119" t="b">
        <v>1</v>
      </c>
      <c r="E119" t="s">
        <v>42</v>
      </c>
      <c r="F119">
        <v>1</v>
      </c>
      <c r="G119">
        <v>1</v>
      </c>
      <c r="H119" t="s">
        <v>177</v>
      </c>
      <c r="I119">
        <v>0</v>
      </c>
    </row>
    <row r="120" spans="1:9" x14ac:dyDescent="0.25">
      <c r="A120" t="s">
        <v>178</v>
      </c>
      <c r="B120" t="s">
        <v>158</v>
      </c>
      <c r="C120" t="s">
        <v>119</v>
      </c>
      <c r="D120" t="b">
        <v>1</v>
      </c>
      <c r="E120" t="s">
        <v>42</v>
      </c>
      <c r="F120">
        <v>1</v>
      </c>
      <c r="G120">
        <v>1</v>
      </c>
      <c r="H120" t="s">
        <v>179</v>
      </c>
      <c r="I120">
        <v>0</v>
      </c>
    </row>
    <row r="121" spans="1:9" x14ac:dyDescent="0.25">
      <c r="A121" t="s">
        <v>180</v>
      </c>
      <c r="B121" t="s">
        <v>158</v>
      </c>
      <c r="C121" t="s">
        <v>119</v>
      </c>
      <c r="D121" t="b">
        <v>1</v>
      </c>
      <c r="E121" t="s">
        <v>42</v>
      </c>
      <c r="F121">
        <v>1</v>
      </c>
      <c r="G121">
        <v>1</v>
      </c>
      <c r="H121" t="s">
        <v>181</v>
      </c>
      <c r="I121">
        <v>0</v>
      </c>
    </row>
    <row r="122" spans="1:9" x14ac:dyDescent="0.25">
      <c r="A122" t="s">
        <v>182</v>
      </c>
      <c r="B122" t="s">
        <v>158</v>
      </c>
      <c r="C122" t="s">
        <v>119</v>
      </c>
      <c r="D122" t="b">
        <v>1</v>
      </c>
      <c r="E122" t="s">
        <v>152</v>
      </c>
      <c r="F122">
        <v>1</v>
      </c>
      <c r="G122">
        <v>1</v>
      </c>
      <c r="H122" t="s">
        <v>183</v>
      </c>
      <c r="I122">
        <v>0</v>
      </c>
    </row>
    <row r="123" spans="1:9" x14ac:dyDescent="0.25">
      <c r="A123" t="s">
        <v>184</v>
      </c>
      <c r="B123" t="s">
        <v>158</v>
      </c>
      <c r="C123" t="s">
        <v>119</v>
      </c>
      <c r="D123" t="b">
        <v>1</v>
      </c>
      <c r="E123" t="s">
        <v>152</v>
      </c>
      <c r="F123">
        <v>1</v>
      </c>
      <c r="G123">
        <v>1</v>
      </c>
      <c r="H123" t="s">
        <v>183</v>
      </c>
      <c r="I123">
        <v>0</v>
      </c>
    </row>
    <row r="124" spans="1:9" x14ac:dyDescent="0.25">
      <c r="A124" t="s">
        <v>185</v>
      </c>
      <c r="B124" t="s">
        <v>158</v>
      </c>
      <c r="C124" t="s">
        <v>119</v>
      </c>
      <c r="D124" t="b">
        <v>1</v>
      </c>
      <c r="E124" t="s">
        <v>152</v>
      </c>
      <c r="F124">
        <v>1</v>
      </c>
      <c r="G124">
        <v>1</v>
      </c>
      <c r="H124" t="s">
        <v>186</v>
      </c>
      <c r="I124">
        <v>0</v>
      </c>
    </row>
    <row r="125" spans="1:9" x14ac:dyDescent="0.25">
      <c r="A125" t="s">
        <v>187</v>
      </c>
      <c r="B125" t="s">
        <v>158</v>
      </c>
      <c r="C125" t="s">
        <v>119</v>
      </c>
      <c r="D125" t="b">
        <v>1</v>
      </c>
      <c r="E125" t="s">
        <v>152</v>
      </c>
      <c r="F125">
        <v>1</v>
      </c>
      <c r="G125">
        <v>1</v>
      </c>
      <c r="H125" t="s">
        <v>188</v>
      </c>
      <c r="I125">
        <v>0</v>
      </c>
    </row>
    <row r="126" spans="1:9" x14ac:dyDescent="0.25">
      <c r="A126" t="s">
        <v>189</v>
      </c>
      <c r="B126" t="s">
        <v>158</v>
      </c>
      <c r="C126" t="s">
        <v>119</v>
      </c>
      <c r="D126" t="b">
        <v>1</v>
      </c>
      <c r="E126" t="s">
        <v>152</v>
      </c>
      <c r="F126">
        <v>1</v>
      </c>
      <c r="G126">
        <v>1</v>
      </c>
      <c r="H126" t="s">
        <v>190</v>
      </c>
      <c r="I126">
        <v>0</v>
      </c>
    </row>
    <row r="127" spans="1:9" x14ac:dyDescent="0.25">
      <c r="A127" t="s">
        <v>191</v>
      </c>
      <c r="B127" t="s">
        <v>158</v>
      </c>
      <c r="C127" t="s">
        <v>119</v>
      </c>
      <c r="D127" t="b">
        <v>1</v>
      </c>
      <c r="E127" t="s">
        <v>152</v>
      </c>
      <c r="F127">
        <v>1</v>
      </c>
      <c r="G127">
        <v>1</v>
      </c>
      <c r="H127" t="s">
        <v>192</v>
      </c>
      <c r="I127">
        <v>0</v>
      </c>
    </row>
    <row r="128" spans="1:9" x14ac:dyDescent="0.25">
      <c r="A128" t="s">
        <v>193</v>
      </c>
      <c r="B128" t="s">
        <v>158</v>
      </c>
      <c r="C128" t="s">
        <v>119</v>
      </c>
      <c r="D128" t="b">
        <v>1</v>
      </c>
      <c r="E128" t="s">
        <v>152</v>
      </c>
      <c r="F128">
        <v>1</v>
      </c>
      <c r="G128">
        <v>1</v>
      </c>
      <c r="H128" t="s">
        <v>192</v>
      </c>
      <c r="I128">
        <v>0</v>
      </c>
    </row>
    <row r="129" spans="1:46" x14ac:dyDescent="0.25">
      <c r="A129" t="s">
        <v>194</v>
      </c>
      <c r="B129" t="s">
        <v>158</v>
      </c>
      <c r="C129" t="s">
        <v>119</v>
      </c>
      <c r="D129" t="b">
        <v>1</v>
      </c>
      <c r="E129" t="s">
        <v>152</v>
      </c>
      <c r="F129">
        <v>1</v>
      </c>
      <c r="G129">
        <v>1</v>
      </c>
      <c r="H129" t="s">
        <v>195</v>
      </c>
      <c r="I129">
        <v>0</v>
      </c>
    </row>
    <row r="130" spans="1:46" x14ac:dyDescent="0.25">
      <c r="A130" t="s">
        <v>196</v>
      </c>
      <c r="B130" t="s">
        <v>158</v>
      </c>
      <c r="C130" t="s">
        <v>119</v>
      </c>
      <c r="D130" t="b">
        <v>1</v>
      </c>
      <c r="E130" t="s">
        <v>152</v>
      </c>
      <c r="F130">
        <v>1</v>
      </c>
      <c r="G130">
        <v>1</v>
      </c>
      <c r="H130" t="s">
        <v>195</v>
      </c>
      <c r="I130">
        <v>0</v>
      </c>
    </row>
    <row r="131" spans="1:46" x14ac:dyDescent="0.25">
      <c r="A131" t="s">
        <v>197</v>
      </c>
      <c r="B131" t="s">
        <v>158</v>
      </c>
      <c r="C131" t="s">
        <v>119</v>
      </c>
      <c r="D131" t="b">
        <v>1</v>
      </c>
      <c r="E131" t="s">
        <v>152</v>
      </c>
      <c r="F131">
        <v>1</v>
      </c>
      <c r="G131">
        <v>1</v>
      </c>
      <c r="H131" t="s">
        <v>198</v>
      </c>
      <c r="I131">
        <v>0</v>
      </c>
    </row>
    <row r="132" spans="1:46" x14ac:dyDescent="0.25">
      <c r="A132" t="s">
        <v>199</v>
      </c>
      <c r="B132" t="s">
        <v>158</v>
      </c>
      <c r="C132" t="s">
        <v>119</v>
      </c>
      <c r="D132" t="b">
        <v>1</v>
      </c>
      <c r="E132" t="s">
        <v>152</v>
      </c>
      <c r="F132">
        <v>1</v>
      </c>
      <c r="G132">
        <v>1</v>
      </c>
      <c r="H132" t="s">
        <v>198</v>
      </c>
      <c r="I132">
        <v>0</v>
      </c>
    </row>
    <row r="133" spans="1:46" x14ac:dyDescent="0.25">
      <c r="A133" t="s">
        <v>200</v>
      </c>
      <c r="B133" t="s">
        <v>119</v>
      </c>
      <c r="C133" t="s">
        <v>30</v>
      </c>
      <c r="D133" t="b">
        <v>0</v>
      </c>
      <c r="F133">
        <v>0</v>
      </c>
      <c r="G133">
        <v>1</v>
      </c>
      <c r="H133" t="s">
        <v>201</v>
      </c>
      <c r="I133">
        <v>0</v>
      </c>
    </row>
    <row r="134" spans="1:46" x14ac:dyDescent="0.25">
      <c r="A134" t="s">
        <v>202</v>
      </c>
      <c r="B134" t="s">
        <v>200</v>
      </c>
      <c r="C134" t="s">
        <v>119</v>
      </c>
      <c r="D134" t="b">
        <v>0</v>
      </c>
      <c r="F134">
        <v>1</v>
      </c>
      <c r="G134" t="s">
        <v>125</v>
      </c>
      <c r="H134" t="s">
        <v>29</v>
      </c>
      <c r="I134">
        <v>0</v>
      </c>
    </row>
    <row r="135" spans="1:46" x14ac:dyDescent="0.25">
      <c r="A135" t="s">
        <v>203</v>
      </c>
      <c r="B135" t="s">
        <v>202</v>
      </c>
      <c r="C135" t="s">
        <v>200</v>
      </c>
      <c r="D135" t="b">
        <v>1</v>
      </c>
      <c r="E135" t="s">
        <v>42</v>
      </c>
      <c r="F135">
        <v>1</v>
      </c>
      <c r="G135">
        <v>1</v>
      </c>
      <c r="H135" t="s">
        <v>204</v>
      </c>
      <c r="I135">
        <v>0</v>
      </c>
    </row>
    <row r="136" spans="1:46" x14ac:dyDescent="0.25">
      <c r="A136" t="s">
        <v>205</v>
      </c>
      <c r="B136" t="s">
        <v>202</v>
      </c>
      <c r="C136" t="s">
        <v>200</v>
      </c>
      <c r="D136" t="b">
        <v>1</v>
      </c>
      <c r="E136" t="s">
        <v>33</v>
      </c>
      <c r="F136">
        <v>1</v>
      </c>
      <c r="G136">
        <v>1</v>
      </c>
      <c r="H136" t="s">
        <v>206</v>
      </c>
      <c r="I136">
        <v>6</v>
      </c>
      <c r="J136" t="s">
        <v>1272</v>
      </c>
      <c r="K136" t="s">
        <v>1273</v>
      </c>
      <c r="L136" t="s">
        <v>1274</v>
      </c>
      <c r="M136" t="s">
        <v>1275</v>
      </c>
      <c r="N136" t="s">
        <v>1276</v>
      </c>
      <c r="O136" t="s">
        <v>1277</v>
      </c>
    </row>
    <row r="137" spans="1:46" x14ac:dyDescent="0.25">
      <c r="A137" t="s">
        <v>207</v>
      </c>
      <c r="B137" t="s">
        <v>202</v>
      </c>
      <c r="C137" t="s">
        <v>200</v>
      </c>
      <c r="D137" t="b">
        <v>1</v>
      </c>
      <c r="E137" t="s">
        <v>33</v>
      </c>
      <c r="F137">
        <v>1</v>
      </c>
      <c r="G137">
        <v>1</v>
      </c>
      <c r="H137" t="s">
        <v>208</v>
      </c>
      <c r="I137">
        <v>37</v>
      </c>
      <c r="J137" t="s">
        <v>1278</v>
      </c>
      <c r="K137" t="s">
        <v>1279</v>
      </c>
      <c r="L137" t="s">
        <v>1280</v>
      </c>
      <c r="M137" t="s">
        <v>1281</v>
      </c>
      <c r="N137" t="s">
        <v>1282</v>
      </c>
      <c r="O137" t="s">
        <v>1283</v>
      </c>
      <c r="P137" t="s">
        <v>1284</v>
      </c>
      <c r="Q137" t="s">
        <v>1285</v>
      </c>
      <c r="R137" t="s">
        <v>1286</v>
      </c>
      <c r="S137" t="s">
        <v>1287</v>
      </c>
      <c r="T137" t="s">
        <v>1288</v>
      </c>
      <c r="U137" t="s">
        <v>1289</v>
      </c>
      <c r="V137" t="s">
        <v>1290</v>
      </c>
      <c r="W137" t="s">
        <v>1291</v>
      </c>
      <c r="X137" t="s">
        <v>1292</v>
      </c>
      <c r="Y137" t="s">
        <v>1293</v>
      </c>
      <c r="Z137" t="s">
        <v>1294</v>
      </c>
      <c r="AA137" t="s">
        <v>1295</v>
      </c>
      <c r="AB137" t="s">
        <v>1296</v>
      </c>
      <c r="AC137" t="s">
        <v>1297</v>
      </c>
      <c r="AD137" t="s">
        <v>1298</v>
      </c>
      <c r="AE137" t="s">
        <v>1299</v>
      </c>
      <c r="AF137" t="s">
        <v>1300</v>
      </c>
      <c r="AG137" t="s">
        <v>1301</v>
      </c>
      <c r="AH137" t="s">
        <v>1302</v>
      </c>
      <c r="AI137" t="s">
        <v>1303</v>
      </c>
      <c r="AJ137" t="s">
        <v>1304</v>
      </c>
      <c r="AK137" t="s">
        <v>1305</v>
      </c>
      <c r="AL137" t="s">
        <v>1306</v>
      </c>
      <c r="AM137" t="s">
        <v>1307</v>
      </c>
      <c r="AN137" t="s">
        <v>1308</v>
      </c>
      <c r="AO137" t="s">
        <v>1309</v>
      </c>
      <c r="AP137" t="s">
        <v>1310</v>
      </c>
      <c r="AQ137" t="s">
        <v>1311</v>
      </c>
      <c r="AR137" t="s">
        <v>1312</v>
      </c>
      <c r="AS137" t="s">
        <v>1313</v>
      </c>
      <c r="AT137" t="s">
        <v>1314</v>
      </c>
    </row>
    <row r="138" spans="1:46" x14ac:dyDescent="0.25">
      <c r="A138" t="s">
        <v>209</v>
      </c>
      <c r="B138" t="s">
        <v>202</v>
      </c>
      <c r="C138" t="s">
        <v>200</v>
      </c>
      <c r="D138" t="b">
        <v>1</v>
      </c>
      <c r="E138" t="s">
        <v>152</v>
      </c>
      <c r="F138">
        <v>1</v>
      </c>
      <c r="G138">
        <v>1</v>
      </c>
      <c r="H138" t="s">
        <v>210</v>
      </c>
      <c r="I138">
        <v>0</v>
      </c>
    </row>
    <row r="139" spans="1:46" x14ac:dyDescent="0.25">
      <c r="A139" t="s">
        <v>211</v>
      </c>
      <c r="B139" t="s">
        <v>202</v>
      </c>
      <c r="C139" t="s">
        <v>200</v>
      </c>
      <c r="D139" t="b">
        <v>1</v>
      </c>
      <c r="E139" t="s">
        <v>42</v>
      </c>
      <c r="F139">
        <v>1</v>
      </c>
      <c r="G139">
        <v>1</v>
      </c>
      <c r="H139" t="s">
        <v>212</v>
      </c>
      <c r="I139">
        <v>0</v>
      </c>
    </row>
    <row r="140" spans="1:46" x14ac:dyDescent="0.25">
      <c r="A140" t="s">
        <v>213</v>
      </c>
      <c r="B140" t="s">
        <v>202</v>
      </c>
      <c r="C140" t="s">
        <v>200</v>
      </c>
      <c r="D140" t="b">
        <v>1</v>
      </c>
      <c r="E140" t="s">
        <v>42</v>
      </c>
      <c r="F140">
        <v>1</v>
      </c>
      <c r="G140">
        <v>1</v>
      </c>
      <c r="H140" t="s">
        <v>214</v>
      </c>
      <c r="I140">
        <v>0</v>
      </c>
    </row>
    <row r="141" spans="1:46" x14ac:dyDescent="0.25">
      <c r="A141" t="s">
        <v>215</v>
      </c>
      <c r="B141" t="s">
        <v>202</v>
      </c>
      <c r="C141" t="s">
        <v>200</v>
      </c>
      <c r="D141" t="b">
        <v>0</v>
      </c>
      <c r="F141">
        <v>1</v>
      </c>
      <c r="G141">
        <v>1</v>
      </c>
      <c r="H141" t="s">
        <v>29</v>
      </c>
      <c r="I141">
        <v>0</v>
      </c>
    </row>
    <row r="142" spans="1:46" x14ac:dyDescent="0.25">
      <c r="A142" t="s">
        <v>216</v>
      </c>
      <c r="B142" t="s">
        <v>215</v>
      </c>
      <c r="C142" t="s">
        <v>202</v>
      </c>
      <c r="D142" t="b">
        <v>0</v>
      </c>
      <c r="F142">
        <v>1</v>
      </c>
      <c r="G142">
        <v>1</v>
      </c>
      <c r="H142" t="s">
        <v>217</v>
      </c>
      <c r="I142">
        <v>0</v>
      </c>
    </row>
    <row r="143" spans="1:46" x14ac:dyDescent="0.25">
      <c r="A143" t="s">
        <v>218</v>
      </c>
      <c r="B143" t="s">
        <v>216</v>
      </c>
      <c r="C143" t="s">
        <v>215</v>
      </c>
      <c r="D143" t="b">
        <v>1</v>
      </c>
      <c r="E143" t="s">
        <v>33</v>
      </c>
      <c r="F143">
        <v>0</v>
      </c>
      <c r="G143">
        <v>1</v>
      </c>
      <c r="H143" t="s">
        <v>219</v>
      </c>
      <c r="I143">
        <v>0</v>
      </c>
    </row>
    <row r="144" spans="1:46" x14ac:dyDescent="0.25">
      <c r="A144" t="s">
        <v>220</v>
      </c>
      <c r="B144" t="s">
        <v>216</v>
      </c>
      <c r="C144" t="s">
        <v>215</v>
      </c>
      <c r="D144" t="b">
        <v>1</v>
      </c>
      <c r="E144" t="s">
        <v>33</v>
      </c>
      <c r="F144">
        <v>0</v>
      </c>
      <c r="G144">
        <v>1</v>
      </c>
      <c r="H144" t="s">
        <v>221</v>
      </c>
      <c r="I144">
        <v>0</v>
      </c>
    </row>
    <row r="145" spans="1:63" x14ac:dyDescent="0.25">
      <c r="A145" t="s">
        <v>222</v>
      </c>
      <c r="B145" t="s">
        <v>216</v>
      </c>
      <c r="C145" t="s">
        <v>215</v>
      </c>
      <c r="D145" t="b">
        <v>1</v>
      </c>
      <c r="E145" t="s">
        <v>33</v>
      </c>
      <c r="F145">
        <v>1</v>
      </c>
      <c r="G145">
        <v>1</v>
      </c>
      <c r="H145" t="s">
        <v>223</v>
      </c>
      <c r="I145">
        <v>0</v>
      </c>
    </row>
    <row r="146" spans="1:63" x14ac:dyDescent="0.25">
      <c r="A146" t="s">
        <v>224</v>
      </c>
      <c r="B146" t="s">
        <v>215</v>
      </c>
      <c r="C146" t="s">
        <v>202</v>
      </c>
      <c r="D146" t="b">
        <v>1</v>
      </c>
      <c r="E146" t="s">
        <v>33</v>
      </c>
      <c r="F146">
        <v>1</v>
      </c>
      <c r="G146">
        <v>1</v>
      </c>
      <c r="H146" t="s">
        <v>29</v>
      </c>
      <c r="I146">
        <v>54</v>
      </c>
      <c r="J146" t="s">
        <v>1315</v>
      </c>
      <c r="K146" t="s">
        <v>1316</v>
      </c>
      <c r="L146" t="s">
        <v>1317</v>
      </c>
      <c r="M146" t="s">
        <v>1318</v>
      </c>
      <c r="N146" t="s">
        <v>1319</v>
      </c>
      <c r="O146" t="s">
        <v>1320</v>
      </c>
      <c r="P146" t="s">
        <v>1321</v>
      </c>
      <c r="Q146" t="s">
        <v>1322</v>
      </c>
      <c r="R146" t="s">
        <v>1323</v>
      </c>
      <c r="S146" t="s">
        <v>1324</v>
      </c>
      <c r="T146" t="s">
        <v>1325</v>
      </c>
      <c r="U146" t="s">
        <v>1326</v>
      </c>
      <c r="V146" t="s">
        <v>1327</v>
      </c>
      <c r="W146" t="s">
        <v>1328</v>
      </c>
      <c r="X146" t="s">
        <v>1329</v>
      </c>
      <c r="Y146" t="s">
        <v>1330</v>
      </c>
      <c r="Z146" t="s">
        <v>1331</v>
      </c>
      <c r="AA146" t="s">
        <v>1332</v>
      </c>
      <c r="AB146" t="s">
        <v>1333</v>
      </c>
      <c r="AC146" t="s">
        <v>1334</v>
      </c>
      <c r="AD146" t="s">
        <v>1335</v>
      </c>
      <c r="AE146" t="s">
        <v>1336</v>
      </c>
      <c r="AF146" t="s">
        <v>1337</v>
      </c>
      <c r="AG146" t="s">
        <v>1338</v>
      </c>
      <c r="AH146" t="s">
        <v>1339</v>
      </c>
      <c r="AI146" t="s">
        <v>1340</v>
      </c>
      <c r="AJ146" t="s">
        <v>1341</v>
      </c>
      <c r="AK146" t="s">
        <v>1342</v>
      </c>
      <c r="AL146" t="s">
        <v>1343</v>
      </c>
      <c r="AM146" t="s">
        <v>1344</v>
      </c>
      <c r="AN146" t="s">
        <v>1345</v>
      </c>
      <c r="AO146" t="s">
        <v>1346</v>
      </c>
      <c r="AP146" t="s">
        <v>1347</v>
      </c>
      <c r="AQ146" t="s">
        <v>1348</v>
      </c>
      <c r="AR146" t="s">
        <v>1349</v>
      </c>
      <c r="AS146" t="s">
        <v>1350</v>
      </c>
      <c r="AT146" t="s">
        <v>1351</v>
      </c>
      <c r="AU146" t="s">
        <v>1352</v>
      </c>
      <c r="AV146" t="s">
        <v>1353</v>
      </c>
      <c r="AW146" t="s">
        <v>1354</v>
      </c>
      <c r="AX146" t="s">
        <v>1355</v>
      </c>
      <c r="AY146" t="s">
        <v>1356</v>
      </c>
      <c r="AZ146" t="s">
        <v>1357</v>
      </c>
      <c r="BA146" t="s">
        <v>1358</v>
      </c>
      <c r="BB146" t="s">
        <v>1359</v>
      </c>
      <c r="BC146" t="s">
        <v>1360</v>
      </c>
      <c r="BD146" t="s">
        <v>1361</v>
      </c>
      <c r="BE146" t="s">
        <v>1362</v>
      </c>
      <c r="BF146" t="s">
        <v>1363</v>
      </c>
      <c r="BG146" t="s">
        <v>1364</v>
      </c>
      <c r="BH146" t="s">
        <v>1365</v>
      </c>
      <c r="BI146" t="s">
        <v>1366</v>
      </c>
      <c r="BJ146" t="s">
        <v>1367</v>
      </c>
      <c r="BK146" t="s">
        <v>1368</v>
      </c>
    </row>
    <row r="147" spans="1:63" x14ac:dyDescent="0.25">
      <c r="A147" t="s">
        <v>225</v>
      </c>
      <c r="B147" t="s">
        <v>202</v>
      </c>
      <c r="C147" t="s">
        <v>200</v>
      </c>
      <c r="D147" t="b">
        <v>1</v>
      </c>
      <c r="E147" t="s">
        <v>33</v>
      </c>
      <c r="F147">
        <v>0</v>
      </c>
      <c r="G147">
        <v>1</v>
      </c>
      <c r="H147" t="s">
        <v>29</v>
      </c>
      <c r="I147">
        <v>0</v>
      </c>
    </row>
    <row r="148" spans="1:63" x14ac:dyDescent="0.25">
      <c r="A148" t="s">
        <v>226</v>
      </c>
      <c r="B148" t="s">
        <v>202</v>
      </c>
      <c r="C148" t="s">
        <v>200</v>
      </c>
      <c r="D148" t="b">
        <v>1</v>
      </c>
      <c r="E148" t="s">
        <v>33</v>
      </c>
      <c r="F148">
        <v>0</v>
      </c>
      <c r="G148">
        <v>1</v>
      </c>
      <c r="H148" t="s">
        <v>29</v>
      </c>
      <c r="I148">
        <v>4</v>
      </c>
      <c r="J148" t="s">
        <v>1369</v>
      </c>
      <c r="K148" t="s">
        <v>1370</v>
      </c>
      <c r="L148" t="s">
        <v>1371</v>
      </c>
      <c r="M148" t="s">
        <v>1372</v>
      </c>
    </row>
    <row r="149" spans="1:63" x14ac:dyDescent="0.25">
      <c r="A149" t="s">
        <v>227</v>
      </c>
      <c r="B149" t="s">
        <v>119</v>
      </c>
      <c r="C149" t="s">
        <v>30</v>
      </c>
      <c r="D149" t="b">
        <v>0</v>
      </c>
      <c r="F149">
        <v>0</v>
      </c>
      <c r="G149">
        <v>1</v>
      </c>
      <c r="H149" t="s">
        <v>228</v>
      </c>
      <c r="I149">
        <v>0</v>
      </c>
    </row>
    <row r="150" spans="1:63" x14ac:dyDescent="0.25">
      <c r="A150" t="s">
        <v>229</v>
      </c>
      <c r="B150" t="s">
        <v>227</v>
      </c>
      <c r="C150" t="s">
        <v>119</v>
      </c>
      <c r="D150" t="b">
        <v>1</v>
      </c>
      <c r="E150" t="s">
        <v>33</v>
      </c>
      <c r="F150">
        <v>1</v>
      </c>
      <c r="G150" t="s">
        <v>125</v>
      </c>
      <c r="H150" t="s">
        <v>230</v>
      </c>
      <c r="I150">
        <v>17</v>
      </c>
      <c r="J150" t="s">
        <v>1373</v>
      </c>
      <c r="K150" t="s">
        <v>1374</v>
      </c>
      <c r="L150" t="s">
        <v>1375</v>
      </c>
      <c r="M150" t="s">
        <v>1376</v>
      </c>
      <c r="N150" t="s">
        <v>1377</v>
      </c>
      <c r="O150" t="s">
        <v>1378</v>
      </c>
      <c r="P150" t="s">
        <v>1379</v>
      </c>
      <c r="Q150" t="s">
        <v>1380</v>
      </c>
      <c r="R150" t="s">
        <v>1381</v>
      </c>
      <c r="S150" t="s">
        <v>1382</v>
      </c>
      <c r="T150" t="s">
        <v>1383</v>
      </c>
      <c r="U150" t="s">
        <v>1384</v>
      </c>
      <c r="V150" t="s">
        <v>1385</v>
      </c>
      <c r="W150" t="s">
        <v>1386</v>
      </c>
      <c r="X150" t="s">
        <v>1387</v>
      </c>
      <c r="Y150" t="s">
        <v>1388</v>
      </c>
      <c r="Z150" t="s">
        <v>1389</v>
      </c>
    </row>
    <row r="151" spans="1:63" x14ac:dyDescent="0.25">
      <c r="A151" t="s">
        <v>231</v>
      </c>
      <c r="B151" t="s">
        <v>119</v>
      </c>
      <c r="C151" t="s">
        <v>30</v>
      </c>
      <c r="D151" t="b">
        <v>0</v>
      </c>
      <c r="F151">
        <v>0</v>
      </c>
      <c r="G151">
        <v>1</v>
      </c>
      <c r="H151" t="s">
        <v>29</v>
      </c>
      <c r="I151">
        <v>0</v>
      </c>
    </row>
    <row r="152" spans="1:63" x14ac:dyDescent="0.25">
      <c r="A152" t="s">
        <v>232</v>
      </c>
      <c r="B152" t="s">
        <v>231</v>
      </c>
      <c r="C152" t="s">
        <v>119</v>
      </c>
      <c r="D152" t="b">
        <v>0</v>
      </c>
      <c r="F152">
        <v>1</v>
      </c>
      <c r="G152">
        <v>1</v>
      </c>
      <c r="H152" t="s">
        <v>29</v>
      </c>
      <c r="I152">
        <v>0</v>
      </c>
    </row>
    <row r="153" spans="1:63" x14ac:dyDescent="0.25">
      <c r="A153" t="s">
        <v>233</v>
      </c>
      <c r="B153" t="s">
        <v>232</v>
      </c>
      <c r="C153" t="s">
        <v>231</v>
      </c>
      <c r="D153" t="b">
        <v>1</v>
      </c>
      <c r="E153" t="s">
        <v>152</v>
      </c>
      <c r="F153">
        <v>1</v>
      </c>
      <c r="G153">
        <v>1</v>
      </c>
      <c r="H153" t="s">
        <v>234</v>
      </c>
      <c r="I153">
        <v>0</v>
      </c>
    </row>
    <row r="154" spans="1:63" x14ac:dyDescent="0.25">
      <c r="A154" t="s">
        <v>235</v>
      </c>
      <c r="B154" t="s">
        <v>232</v>
      </c>
      <c r="C154" t="s">
        <v>231</v>
      </c>
      <c r="D154" t="b">
        <v>1</v>
      </c>
      <c r="E154" t="s">
        <v>152</v>
      </c>
      <c r="F154">
        <v>1</v>
      </c>
      <c r="G154">
        <v>1</v>
      </c>
      <c r="H154" t="s">
        <v>236</v>
      </c>
      <c r="I154">
        <v>0</v>
      </c>
    </row>
    <row r="155" spans="1:63" x14ac:dyDescent="0.25">
      <c r="A155" t="s">
        <v>237</v>
      </c>
      <c r="B155" t="s">
        <v>231</v>
      </c>
      <c r="C155" t="s">
        <v>119</v>
      </c>
      <c r="D155" t="b">
        <v>0</v>
      </c>
      <c r="F155">
        <v>1</v>
      </c>
      <c r="G155">
        <v>1</v>
      </c>
      <c r="H155" t="s">
        <v>29</v>
      </c>
      <c r="I155">
        <v>0</v>
      </c>
    </row>
    <row r="156" spans="1:63" x14ac:dyDescent="0.25">
      <c r="A156" t="s">
        <v>238</v>
      </c>
      <c r="B156" t="s">
        <v>237</v>
      </c>
      <c r="C156" t="s">
        <v>231</v>
      </c>
      <c r="D156" t="b">
        <v>1</v>
      </c>
      <c r="E156" t="s">
        <v>152</v>
      </c>
      <c r="F156">
        <v>1</v>
      </c>
      <c r="G156">
        <v>1</v>
      </c>
      <c r="H156" t="s">
        <v>239</v>
      </c>
      <c r="I156">
        <v>0</v>
      </c>
    </row>
    <row r="157" spans="1:63" x14ac:dyDescent="0.25">
      <c r="A157" t="s">
        <v>240</v>
      </c>
      <c r="B157" t="s">
        <v>237</v>
      </c>
      <c r="C157" t="s">
        <v>231</v>
      </c>
      <c r="D157" t="b">
        <v>1</v>
      </c>
      <c r="E157" t="s">
        <v>152</v>
      </c>
      <c r="F157">
        <v>0</v>
      </c>
      <c r="G157">
        <v>1</v>
      </c>
      <c r="H157" t="s">
        <v>241</v>
      </c>
      <c r="I157">
        <v>0</v>
      </c>
    </row>
    <row r="158" spans="1:63" x14ac:dyDescent="0.25">
      <c r="A158" t="s">
        <v>242</v>
      </c>
      <c r="B158" t="s">
        <v>237</v>
      </c>
      <c r="C158" t="s">
        <v>231</v>
      </c>
      <c r="D158" t="b">
        <v>1</v>
      </c>
      <c r="E158" t="s">
        <v>152</v>
      </c>
      <c r="F158">
        <v>0</v>
      </c>
      <c r="G158">
        <v>1</v>
      </c>
      <c r="H158" t="s">
        <v>243</v>
      </c>
      <c r="I158">
        <v>0</v>
      </c>
    </row>
    <row r="159" spans="1:63" x14ac:dyDescent="0.25">
      <c r="A159" t="s">
        <v>244</v>
      </c>
      <c r="B159" t="s">
        <v>237</v>
      </c>
      <c r="C159" t="s">
        <v>231</v>
      </c>
      <c r="D159" t="b">
        <v>1</v>
      </c>
      <c r="E159" t="s">
        <v>152</v>
      </c>
      <c r="F159">
        <v>0</v>
      </c>
      <c r="G159">
        <v>1</v>
      </c>
      <c r="H159" t="s">
        <v>245</v>
      </c>
      <c r="I159">
        <v>0</v>
      </c>
    </row>
    <row r="160" spans="1:63" x14ac:dyDescent="0.25">
      <c r="A160" t="s">
        <v>235</v>
      </c>
      <c r="B160" t="s">
        <v>237</v>
      </c>
      <c r="C160" t="s">
        <v>231</v>
      </c>
      <c r="D160" t="b">
        <v>1</v>
      </c>
      <c r="E160" t="s">
        <v>152</v>
      </c>
      <c r="F160">
        <v>1</v>
      </c>
      <c r="G160">
        <v>1</v>
      </c>
      <c r="H160" t="s">
        <v>236</v>
      </c>
      <c r="I160">
        <v>0</v>
      </c>
    </row>
    <row r="161" spans="1:63" x14ac:dyDescent="0.25">
      <c r="A161" t="s">
        <v>246</v>
      </c>
      <c r="B161" t="s">
        <v>237</v>
      </c>
      <c r="C161" t="s">
        <v>231</v>
      </c>
      <c r="D161" t="b">
        <v>1</v>
      </c>
      <c r="E161" t="s">
        <v>42</v>
      </c>
      <c r="F161">
        <v>0</v>
      </c>
      <c r="G161">
        <v>1</v>
      </c>
      <c r="H161" t="s">
        <v>247</v>
      </c>
      <c r="I161">
        <v>0</v>
      </c>
    </row>
    <row r="162" spans="1:63" x14ac:dyDescent="0.25">
      <c r="A162" t="s">
        <v>248</v>
      </c>
      <c r="B162" t="s">
        <v>237</v>
      </c>
      <c r="C162" t="s">
        <v>231</v>
      </c>
      <c r="D162" t="b">
        <v>1</v>
      </c>
      <c r="E162" t="s">
        <v>42</v>
      </c>
      <c r="F162">
        <v>0</v>
      </c>
      <c r="G162">
        <v>1</v>
      </c>
      <c r="H162" t="s">
        <v>249</v>
      </c>
      <c r="I162">
        <v>0</v>
      </c>
    </row>
    <row r="163" spans="1:63" x14ac:dyDescent="0.25">
      <c r="A163" t="s">
        <v>250</v>
      </c>
      <c r="B163" t="s">
        <v>237</v>
      </c>
      <c r="C163" t="s">
        <v>231</v>
      </c>
      <c r="D163" t="b">
        <v>1</v>
      </c>
      <c r="E163" t="s">
        <v>42</v>
      </c>
      <c r="F163">
        <v>0</v>
      </c>
      <c r="G163">
        <v>1</v>
      </c>
      <c r="H163" t="s">
        <v>251</v>
      </c>
      <c r="I163">
        <v>0</v>
      </c>
    </row>
    <row r="164" spans="1:63" x14ac:dyDescent="0.25">
      <c r="A164" t="s">
        <v>252</v>
      </c>
      <c r="B164" t="s">
        <v>119</v>
      </c>
      <c r="C164" t="s">
        <v>30</v>
      </c>
      <c r="D164" t="b">
        <v>0</v>
      </c>
      <c r="F164">
        <v>0</v>
      </c>
      <c r="G164">
        <v>1</v>
      </c>
      <c r="H164" t="s">
        <v>253</v>
      </c>
      <c r="I164">
        <v>0</v>
      </c>
    </row>
    <row r="165" spans="1:63" x14ac:dyDescent="0.25">
      <c r="A165" t="s">
        <v>254</v>
      </c>
      <c r="B165" t="s">
        <v>252</v>
      </c>
      <c r="C165" t="s">
        <v>119</v>
      </c>
      <c r="D165" t="b">
        <v>0</v>
      </c>
      <c r="F165">
        <v>1</v>
      </c>
      <c r="G165" t="s">
        <v>125</v>
      </c>
      <c r="H165" t="s">
        <v>255</v>
      </c>
      <c r="I165">
        <v>0</v>
      </c>
    </row>
    <row r="166" spans="1:63" x14ac:dyDescent="0.25">
      <c r="A166" t="s">
        <v>207</v>
      </c>
      <c r="B166" t="s">
        <v>254</v>
      </c>
      <c r="C166" t="s">
        <v>252</v>
      </c>
      <c r="D166" t="b">
        <v>1</v>
      </c>
      <c r="E166" t="s">
        <v>33</v>
      </c>
      <c r="F166">
        <v>1</v>
      </c>
      <c r="G166">
        <v>1</v>
      </c>
      <c r="H166" t="s">
        <v>29</v>
      </c>
      <c r="I166">
        <v>37</v>
      </c>
      <c r="J166" t="s">
        <v>1278</v>
      </c>
      <c r="K166" t="s">
        <v>1279</v>
      </c>
      <c r="L166" t="s">
        <v>1280</v>
      </c>
      <c r="M166" t="s">
        <v>1281</v>
      </c>
      <c r="N166" t="s">
        <v>1282</v>
      </c>
      <c r="O166" t="s">
        <v>1283</v>
      </c>
      <c r="P166" t="s">
        <v>1284</v>
      </c>
      <c r="Q166" t="s">
        <v>1285</v>
      </c>
      <c r="R166" t="s">
        <v>1286</v>
      </c>
      <c r="S166" t="s">
        <v>1287</v>
      </c>
      <c r="T166" t="s">
        <v>1288</v>
      </c>
      <c r="U166" t="s">
        <v>1289</v>
      </c>
      <c r="V166" t="s">
        <v>1290</v>
      </c>
      <c r="W166" t="s">
        <v>1291</v>
      </c>
      <c r="X166" t="s">
        <v>1292</v>
      </c>
      <c r="Y166" t="s">
        <v>1293</v>
      </c>
      <c r="Z166" t="s">
        <v>1294</v>
      </c>
      <c r="AA166" t="s">
        <v>1295</v>
      </c>
      <c r="AB166" t="s">
        <v>1296</v>
      </c>
      <c r="AC166" t="s">
        <v>1297</v>
      </c>
      <c r="AD166" t="s">
        <v>1298</v>
      </c>
      <c r="AE166" t="s">
        <v>1299</v>
      </c>
      <c r="AF166" t="s">
        <v>1300</v>
      </c>
      <c r="AG166" t="s">
        <v>1301</v>
      </c>
      <c r="AH166" t="s">
        <v>1302</v>
      </c>
      <c r="AI166" t="s">
        <v>1303</v>
      </c>
      <c r="AJ166" t="s">
        <v>1304</v>
      </c>
      <c r="AK166" t="s">
        <v>1305</v>
      </c>
      <c r="AL166" t="s">
        <v>1306</v>
      </c>
      <c r="AM166" t="s">
        <v>1307</v>
      </c>
      <c r="AN166" t="s">
        <v>1308</v>
      </c>
      <c r="AO166" t="s">
        <v>1309</v>
      </c>
      <c r="AP166" t="s">
        <v>1310</v>
      </c>
      <c r="AQ166" t="s">
        <v>1311</v>
      </c>
      <c r="AR166" t="s">
        <v>1312</v>
      </c>
      <c r="AS166" t="s">
        <v>1313</v>
      </c>
      <c r="AT166" t="s">
        <v>1314</v>
      </c>
    </row>
    <row r="167" spans="1:63" x14ac:dyDescent="0.25">
      <c r="A167" t="s">
        <v>224</v>
      </c>
      <c r="B167" t="s">
        <v>254</v>
      </c>
      <c r="C167" t="s">
        <v>252</v>
      </c>
      <c r="D167" t="b">
        <v>1</v>
      </c>
      <c r="E167" t="s">
        <v>33</v>
      </c>
      <c r="F167">
        <v>1</v>
      </c>
      <c r="G167">
        <v>1</v>
      </c>
      <c r="H167" t="s">
        <v>29</v>
      </c>
      <c r="I167">
        <v>54</v>
      </c>
      <c r="J167" t="s">
        <v>1315</v>
      </c>
      <c r="K167" t="s">
        <v>1316</v>
      </c>
      <c r="L167" t="s">
        <v>1317</v>
      </c>
      <c r="M167" t="s">
        <v>1318</v>
      </c>
      <c r="N167" t="s">
        <v>1319</v>
      </c>
      <c r="O167" t="s">
        <v>1320</v>
      </c>
      <c r="P167" t="s">
        <v>1321</v>
      </c>
      <c r="Q167" t="s">
        <v>1322</v>
      </c>
      <c r="R167" t="s">
        <v>1323</v>
      </c>
      <c r="S167" t="s">
        <v>1324</v>
      </c>
      <c r="T167" t="s">
        <v>1325</v>
      </c>
      <c r="U167" t="s">
        <v>1326</v>
      </c>
      <c r="V167" t="s">
        <v>1327</v>
      </c>
      <c r="W167" t="s">
        <v>1328</v>
      </c>
      <c r="X167" t="s">
        <v>1329</v>
      </c>
      <c r="Y167" t="s">
        <v>1330</v>
      </c>
      <c r="Z167" t="s">
        <v>1331</v>
      </c>
      <c r="AA167" t="s">
        <v>1332</v>
      </c>
      <c r="AB167" t="s">
        <v>1333</v>
      </c>
      <c r="AC167" t="s">
        <v>1334</v>
      </c>
      <c r="AD167" t="s">
        <v>1335</v>
      </c>
      <c r="AE167" t="s">
        <v>1336</v>
      </c>
      <c r="AF167" t="s">
        <v>1337</v>
      </c>
      <c r="AG167" t="s">
        <v>1338</v>
      </c>
      <c r="AH167" t="s">
        <v>1339</v>
      </c>
      <c r="AI167" t="s">
        <v>1340</v>
      </c>
      <c r="AJ167" t="s">
        <v>1341</v>
      </c>
      <c r="AK167" t="s">
        <v>1342</v>
      </c>
      <c r="AL167" t="s">
        <v>1343</v>
      </c>
      <c r="AM167" t="s">
        <v>1344</v>
      </c>
      <c r="AN167" t="s">
        <v>1345</v>
      </c>
      <c r="AO167" t="s">
        <v>1346</v>
      </c>
      <c r="AP167" t="s">
        <v>1347</v>
      </c>
      <c r="AQ167" t="s">
        <v>1348</v>
      </c>
      <c r="AR167" t="s">
        <v>1349</v>
      </c>
      <c r="AS167" t="s">
        <v>1350</v>
      </c>
      <c r="AT167" t="s">
        <v>1351</v>
      </c>
      <c r="AU167" t="s">
        <v>1352</v>
      </c>
      <c r="AV167" t="s">
        <v>1353</v>
      </c>
      <c r="AW167" t="s">
        <v>1354</v>
      </c>
      <c r="AX167" t="s">
        <v>1355</v>
      </c>
      <c r="AY167" t="s">
        <v>1356</v>
      </c>
      <c r="AZ167" t="s">
        <v>1357</v>
      </c>
      <c r="BA167" t="s">
        <v>1358</v>
      </c>
      <c r="BB167" t="s">
        <v>1359</v>
      </c>
      <c r="BC167" t="s">
        <v>1360</v>
      </c>
      <c r="BD167" t="s">
        <v>1361</v>
      </c>
      <c r="BE167" t="s">
        <v>1362</v>
      </c>
      <c r="BF167" t="s">
        <v>1363</v>
      </c>
      <c r="BG167" t="s">
        <v>1364</v>
      </c>
      <c r="BH167" t="s">
        <v>1365</v>
      </c>
      <c r="BI167" t="s">
        <v>1366</v>
      </c>
      <c r="BJ167" t="s">
        <v>1367</v>
      </c>
      <c r="BK167" t="s">
        <v>1368</v>
      </c>
    </row>
    <row r="168" spans="1:63" x14ac:dyDescent="0.25">
      <c r="A168" t="s">
        <v>256</v>
      </c>
      <c r="B168" t="s">
        <v>252</v>
      </c>
      <c r="C168" t="s">
        <v>119</v>
      </c>
      <c r="D168" t="b">
        <v>1</v>
      </c>
      <c r="E168" t="s">
        <v>152</v>
      </c>
      <c r="F168">
        <v>1</v>
      </c>
      <c r="G168">
        <v>1</v>
      </c>
      <c r="H168" t="s">
        <v>257</v>
      </c>
      <c r="I168">
        <v>0</v>
      </c>
    </row>
    <row r="169" spans="1:63" x14ac:dyDescent="0.25">
      <c r="A169" t="s">
        <v>258</v>
      </c>
      <c r="B169" t="s">
        <v>252</v>
      </c>
      <c r="C169" t="s">
        <v>119</v>
      </c>
      <c r="D169" t="b">
        <v>1</v>
      </c>
      <c r="E169" t="s">
        <v>152</v>
      </c>
      <c r="F169">
        <v>1</v>
      </c>
      <c r="G169">
        <v>1</v>
      </c>
      <c r="H169" t="s">
        <v>259</v>
      </c>
      <c r="I169">
        <v>0</v>
      </c>
    </row>
    <row r="170" spans="1:63" x14ac:dyDescent="0.25">
      <c r="A170" t="s">
        <v>260</v>
      </c>
      <c r="B170" t="s">
        <v>252</v>
      </c>
      <c r="C170" t="s">
        <v>119</v>
      </c>
      <c r="D170" t="b">
        <v>1</v>
      </c>
      <c r="E170" t="s">
        <v>152</v>
      </c>
      <c r="F170">
        <v>1</v>
      </c>
      <c r="G170">
        <v>1</v>
      </c>
      <c r="H170" t="s">
        <v>261</v>
      </c>
      <c r="I170">
        <v>0</v>
      </c>
    </row>
    <row r="171" spans="1:63" x14ac:dyDescent="0.25">
      <c r="A171" t="s">
        <v>262</v>
      </c>
      <c r="B171" t="s">
        <v>119</v>
      </c>
      <c r="C171" t="s">
        <v>30</v>
      </c>
      <c r="D171" t="b">
        <v>0</v>
      </c>
      <c r="F171">
        <v>0</v>
      </c>
      <c r="G171">
        <v>1</v>
      </c>
      <c r="H171" t="s">
        <v>263</v>
      </c>
      <c r="I171">
        <v>0</v>
      </c>
    </row>
    <row r="172" spans="1:63" x14ac:dyDescent="0.25">
      <c r="A172" t="s">
        <v>202</v>
      </c>
      <c r="B172" t="s">
        <v>262</v>
      </c>
      <c r="C172" t="s">
        <v>119</v>
      </c>
      <c r="D172" t="b">
        <v>0</v>
      </c>
      <c r="F172">
        <v>1</v>
      </c>
      <c r="G172" t="s">
        <v>125</v>
      </c>
      <c r="H172" t="s">
        <v>29</v>
      </c>
      <c r="I172">
        <v>0</v>
      </c>
    </row>
    <row r="173" spans="1:63" x14ac:dyDescent="0.25">
      <c r="A173" t="s">
        <v>203</v>
      </c>
      <c r="B173" t="s">
        <v>202</v>
      </c>
      <c r="C173" t="s">
        <v>262</v>
      </c>
      <c r="D173" t="b">
        <v>1</v>
      </c>
      <c r="E173" t="s">
        <v>42</v>
      </c>
      <c r="F173">
        <v>1</v>
      </c>
      <c r="G173">
        <v>1</v>
      </c>
      <c r="H173" t="s">
        <v>204</v>
      </c>
      <c r="I173">
        <v>0</v>
      </c>
    </row>
    <row r="174" spans="1:63" x14ac:dyDescent="0.25">
      <c r="A174" t="s">
        <v>205</v>
      </c>
      <c r="B174" t="s">
        <v>202</v>
      </c>
      <c r="C174" t="s">
        <v>262</v>
      </c>
      <c r="D174" t="b">
        <v>1</v>
      </c>
      <c r="E174" t="s">
        <v>33</v>
      </c>
      <c r="F174">
        <v>1</v>
      </c>
      <c r="G174">
        <v>1</v>
      </c>
      <c r="H174" t="s">
        <v>206</v>
      </c>
      <c r="I174">
        <v>6</v>
      </c>
      <c r="J174" t="s">
        <v>1272</v>
      </c>
      <c r="K174" t="s">
        <v>1273</v>
      </c>
      <c r="L174" t="s">
        <v>1274</v>
      </c>
      <c r="M174" t="s">
        <v>1275</v>
      </c>
      <c r="N174" t="s">
        <v>1276</v>
      </c>
      <c r="O174" t="s">
        <v>1277</v>
      </c>
    </row>
    <row r="175" spans="1:63" x14ac:dyDescent="0.25">
      <c r="A175" t="s">
        <v>207</v>
      </c>
      <c r="B175" t="s">
        <v>202</v>
      </c>
      <c r="C175" t="s">
        <v>262</v>
      </c>
      <c r="D175" t="b">
        <v>1</v>
      </c>
      <c r="E175" t="s">
        <v>33</v>
      </c>
      <c r="F175">
        <v>1</v>
      </c>
      <c r="G175">
        <v>1</v>
      </c>
      <c r="H175" t="s">
        <v>208</v>
      </c>
      <c r="I175">
        <v>37</v>
      </c>
      <c r="J175" t="s">
        <v>1278</v>
      </c>
      <c r="K175" t="s">
        <v>1279</v>
      </c>
      <c r="L175" t="s">
        <v>1280</v>
      </c>
      <c r="M175" t="s">
        <v>1281</v>
      </c>
      <c r="N175" t="s">
        <v>1282</v>
      </c>
      <c r="O175" t="s">
        <v>1283</v>
      </c>
      <c r="P175" t="s">
        <v>1284</v>
      </c>
      <c r="Q175" t="s">
        <v>1285</v>
      </c>
      <c r="R175" t="s">
        <v>1286</v>
      </c>
      <c r="S175" t="s">
        <v>1287</v>
      </c>
      <c r="T175" t="s">
        <v>1288</v>
      </c>
      <c r="U175" t="s">
        <v>1289</v>
      </c>
      <c r="V175" t="s">
        <v>1290</v>
      </c>
      <c r="W175" t="s">
        <v>1291</v>
      </c>
      <c r="X175" t="s">
        <v>1292</v>
      </c>
      <c r="Y175" t="s">
        <v>1293</v>
      </c>
      <c r="Z175" t="s">
        <v>1294</v>
      </c>
      <c r="AA175" t="s">
        <v>1295</v>
      </c>
      <c r="AB175" t="s">
        <v>1296</v>
      </c>
      <c r="AC175" t="s">
        <v>1297</v>
      </c>
      <c r="AD175" t="s">
        <v>1298</v>
      </c>
      <c r="AE175" t="s">
        <v>1299</v>
      </c>
      <c r="AF175" t="s">
        <v>1300</v>
      </c>
      <c r="AG175" t="s">
        <v>1301</v>
      </c>
      <c r="AH175" t="s">
        <v>1302</v>
      </c>
      <c r="AI175" t="s">
        <v>1303</v>
      </c>
      <c r="AJ175" t="s">
        <v>1304</v>
      </c>
      <c r="AK175" t="s">
        <v>1305</v>
      </c>
      <c r="AL175" t="s">
        <v>1306</v>
      </c>
      <c r="AM175" t="s">
        <v>1307</v>
      </c>
      <c r="AN175" t="s">
        <v>1308</v>
      </c>
      <c r="AO175" t="s">
        <v>1309</v>
      </c>
      <c r="AP175" t="s">
        <v>1310</v>
      </c>
      <c r="AQ175" t="s">
        <v>1311</v>
      </c>
      <c r="AR175" t="s">
        <v>1312</v>
      </c>
      <c r="AS175" t="s">
        <v>1313</v>
      </c>
      <c r="AT175" t="s">
        <v>1314</v>
      </c>
    </row>
    <row r="176" spans="1:63" x14ac:dyDescent="0.25">
      <c r="A176" t="s">
        <v>209</v>
      </c>
      <c r="B176" t="s">
        <v>202</v>
      </c>
      <c r="C176" t="s">
        <v>262</v>
      </c>
      <c r="D176" t="b">
        <v>1</v>
      </c>
      <c r="E176" t="s">
        <v>152</v>
      </c>
      <c r="F176">
        <v>1</v>
      </c>
      <c r="G176">
        <v>1</v>
      </c>
      <c r="H176" t="s">
        <v>210</v>
      </c>
      <c r="I176">
        <v>0</v>
      </c>
    </row>
    <row r="177" spans="1:63" x14ac:dyDescent="0.25">
      <c r="A177" t="s">
        <v>211</v>
      </c>
      <c r="B177" t="s">
        <v>202</v>
      </c>
      <c r="C177" t="s">
        <v>262</v>
      </c>
      <c r="D177" t="b">
        <v>1</v>
      </c>
      <c r="E177" t="s">
        <v>42</v>
      </c>
      <c r="F177">
        <v>1</v>
      </c>
      <c r="G177">
        <v>1</v>
      </c>
      <c r="H177" t="s">
        <v>212</v>
      </c>
      <c r="I177">
        <v>0</v>
      </c>
    </row>
    <row r="178" spans="1:63" x14ac:dyDescent="0.25">
      <c r="A178" t="s">
        <v>213</v>
      </c>
      <c r="B178" t="s">
        <v>202</v>
      </c>
      <c r="C178" t="s">
        <v>262</v>
      </c>
      <c r="D178" t="b">
        <v>1</v>
      </c>
      <c r="E178" t="s">
        <v>42</v>
      </c>
      <c r="F178">
        <v>1</v>
      </c>
      <c r="G178">
        <v>1</v>
      </c>
      <c r="H178" t="s">
        <v>214</v>
      </c>
      <c r="I178">
        <v>0</v>
      </c>
    </row>
    <row r="179" spans="1:63" x14ac:dyDescent="0.25">
      <c r="A179" t="s">
        <v>215</v>
      </c>
      <c r="B179" t="s">
        <v>202</v>
      </c>
      <c r="C179" t="s">
        <v>262</v>
      </c>
      <c r="D179" t="b">
        <v>0</v>
      </c>
      <c r="F179">
        <v>1</v>
      </c>
      <c r="G179">
        <v>1</v>
      </c>
      <c r="H179" t="s">
        <v>29</v>
      </c>
      <c r="I179">
        <v>0</v>
      </c>
    </row>
    <row r="180" spans="1:63" x14ac:dyDescent="0.25">
      <c r="A180" t="s">
        <v>216</v>
      </c>
      <c r="B180" t="s">
        <v>215</v>
      </c>
      <c r="C180" t="s">
        <v>202</v>
      </c>
      <c r="D180" t="b">
        <v>0</v>
      </c>
      <c r="F180">
        <v>1</v>
      </c>
      <c r="G180">
        <v>1</v>
      </c>
      <c r="H180" t="s">
        <v>217</v>
      </c>
      <c r="I180">
        <v>0</v>
      </c>
    </row>
    <row r="181" spans="1:63" x14ac:dyDescent="0.25">
      <c r="A181" t="s">
        <v>218</v>
      </c>
      <c r="B181" t="s">
        <v>216</v>
      </c>
      <c r="C181" t="s">
        <v>215</v>
      </c>
      <c r="D181" t="b">
        <v>1</v>
      </c>
      <c r="E181" t="s">
        <v>33</v>
      </c>
      <c r="F181">
        <v>0</v>
      </c>
      <c r="G181">
        <v>1</v>
      </c>
      <c r="H181" t="s">
        <v>219</v>
      </c>
      <c r="I181">
        <v>0</v>
      </c>
    </row>
    <row r="182" spans="1:63" x14ac:dyDescent="0.25">
      <c r="A182" t="s">
        <v>220</v>
      </c>
      <c r="B182" t="s">
        <v>216</v>
      </c>
      <c r="C182" t="s">
        <v>215</v>
      </c>
      <c r="D182" t="b">
        <v>1</v>
      </c>
      <c r="E182" t="s">
        <v>33</v>
      </c>
      <c r="F182">
        <v>0</v>
      </c>
      <c r="G182">
        <v>1</v>
      </c>
      <c r="H182" t="s">
        <v>221</v>
      </c>
      <c r="I182">
        <v>0</v>
      </c>
    </row>
    <row r="183" spans="1:63" x14ac:dyDescent="0.25">
      <c r="A183" t="s">
        <v>222</v>
      </c>
      <c r="B183" t="s">
        <v>216</v>
      </c>
      <c r="C183" t="s">
        <v>215</v>
      </c>
      <c r="D183" t="b">
        <v>1</v>
      </c>
      <c r="E183" t="s">
        <v>33</v>
      </c>
      <c r="F183">
        <v>1</v>
      </c>
      <c r="G183">
        <v>1</v>
      </c>
      <c r="H183" t="s">
        <v>223</v>
      </c>
      <c r="I183">
        <v>0</v>
      </c>
    </row>
    <row r="184" spans="1:63" x14ac:dyDescent="0.25">
      <c r="A184" t="s">
        <v>224</v>
      </c>
      <c r="B184" t="s">
        <v>215</v>
      </c>
      <c r="C184" t="s">
        <v>202</v>
      </c>
      <c r="D184" t="b">
        <v>1</v>
      </c>
      <c r="E184" t="s">
        <v>33</v>
      </c>
      <c r="F184">
        <v>1</v>
      </c>
      <c r="G184">
        <v>1</v>
      </c>
      <c r="H184" t="s">
        <v>29</v>
      </c>
      <c r="I184">
        <v>54</v>
      </c>
      <c r="J184" t="s">
        <v>1315</v>
      </c>
      <c r="K184" t="s">
        <v>1316</v>
      </c>
      <c r="L184" t="s">
        <v>1317</v>
      </c>
      <c r="M184" t="s">
        <v>1318</v>
      </c>
      <c r="N184" t="s">
        <v>1319</v>
      </c>
      <c r="O184" t="s">
        <v>1320</v>
      </c>
      <c r="P184" t="s">
        <v>1321</v>
      </c>
      <c r="Q184" t="s">
        <v>1322</v>
      </c>
      <c r="R184" t="s">
        <v>1323</v>
      </c>
      <c r="S184" t="s">
        <v>1324</v>
      </c>
      <c r="T184" t="s">
        <v>1325</v>
      </c>
      <c r="U184" t="s">
        <v>1326</v>
      </c>
      <c r="V184" t="s">
        <v>1327</v>
      </c>
      <c r="W184" t="s">
        <v>1328</v>
      </c>
      <c r="X184" t="s">
        <v>1329</v>
      </c>
      <c r="Y184" t="s">
        <v>1330</v>
      </c>
      <c r="Z184" t="s">
        <v>1331</v>
      </c>
      <c r="AA184" t="s">
        <v>1332</v>
      </c>
      <c r="AB184" t="s">
        <v>1333</v>
      </c>
      <c r="AC184" t="s">
        <v>1334</v>
      </c>
      <c r="AD184" t="s">
        <v>1335</v>
      </c>
      <c r="AE184" t="s">
        <v>1336</v>
      </c>
      <c r="AF184" t="s">
        <v>1337</v>
      </c>
      <c r="AG184" t="s">
        <v>1338</v>
      </c>
      <c r="AH184" t="s">
        <v>1339</v>
      </c>
      <c r="AI184" t="s">
        <v>1340</v>
      </c>
      <c r="AJ184" t="s">
        <v>1341</v>
      </c>
      <c r="AK184" t="s">
        <v>1342</v>
      </c>
      <c r="AL184" t="s">
        <v>1343</v>
      </c>
      <c r="AM184" t="s">
        <v>1344</v>
      </c>
      <c r="AN184" t="s">
        <v>1345</v>
      </c>
      <c r="AO184" t="s">
        <v>1346</v>
      </c>
      <c r="AP184" t="s">
        <v>1347</v>
      </c>
      <c r="AQ184" t="s">
        <v>1348</v>
      </c>
      <c r="AR184" t="s">
        <v>1349</v>
      </c>
      <c r="AS184" t="s">
        <v>1350</v>
      </c>
      <c r="AT184" t="s">
        <v>1351</v>
      </c>
      <c r="AU184" t="s">
        <v>1352</v>
      </c>
      <c r="AV184" t="s">
        <v>1353</v>
      </c>
      <c r="AW184" t="s">
        <v>1354</v>
      </c>
      <c r="AX184" t="s">
        <v>1355</v>
      </c>
      <c r="AY184" t="s">
        <v>1356</v>
      </c>
      <c r="AZ184" t="s">
        <v>1357</v>
      </c>
      <c r="BA184" t="s">
        <v>1358</v>
      </c>
      <c r="BB184" t="s">
        <v>1359</v>
      </c>
      <c r="BC184" t="s">
        <v>1360</v>
      </c>
      <c r="BD184" t="s">
        <v>1361</v>
      </c>
      <c r="BE184" t="s">
        <v>1362</v>
      </c>
      <c r="BF184" t="s">
        <v>1363</v>
      </c>
      <c r="BG184" t="s">
        <v>1364</v>
      </c>
      <c r="BH184" t="s">
        <v>1365</v>
      </c>
      <c r="BI184" t="s">
        <v>1366</v>
      </c>
      <c r="BJ184" t="s">
        <v>1367</v>
      </c>
      <c r="BK184" t="s">
        <v>1368</v>
      </c>
    </row>
    <row r="185" spans="1:63" x14ac:dyDescent="0.25">
      <c r="A185" t="s">
        <v>225</v>
      </c>
      <c r="B185" t="s">
        <v>202</v>
      </c>
      <c r="C185" t="s">
        <v>262</v>
      </c>
      <c r="D185" t="b">
        <v>1</v>
      </c>
      <c r="E185" t="s">
        <v>33</v>
      </c>
      <c r="F185">
        <v>0</v>
      </c>
      <c r="G185">
        <v>1</v>
      </c>
      <c r="H185" t="s">
        <v>29</v>
      </c>
      <c r="I185">
        <v>0</v>
      </c>
    </row>
    <row r="186" spans="1:63" x14ac:dyDescent="0.25">
      <c r="A186" t="s">
        <v>226</v>
      </c>
      <c r="B186" t="s">
        <v>202</v>
      </c>
      <c r="C186" t="s">
        <v>262</v>
      </c>
      <c r="D186" t="b">
        <v>1</v>
      </c>
      <c r="E186" t="s">
        <v>33</v>
      </c>
      <c r="F186">
        <v>0</v>
      </c>
      <c r="G186">
        <v>1</v>
      </c>
      <c r="H186" t="s">
        <v>29</v>
      </c>
      <c r="I186">
        <v>4</v>
      </c>
      <c r="J186" t="s">
        <v>1369</v>
      </c>
      <c r="K186" t="s">
        <v>1370</v>
      </c>
      <c r="L186" t="s">
        <v>1371</v>
      </c>
      <c r="M186" t="s">
        <v>1372</v>
      </c>
    </row>
    <row r="187" spans="1:63" x14ac:dyDescent="0.25">
      <c r="A187" t="s">
        <v>264</v>
      </c>
      <c r="B187" t="s">
        <v>119</v>
      </c>
      <c r="C187" t="s">
        <v>30</v>
      </c>
      <c r="D187" t="b">
        <v>0</v>
      </c>
      <c r="F187">
        <v>0</v>
      </c>
      <c r="G187">
        <v>1</v>
      </c>
      <c r="H187" t="s">
        <v>29</v>
      </c>
      <c r="I187">
        <v>0</v>
      </c>
    </row>
    <row r="188" spans="1:63" x14ac:dyDescent="0.25">
      <c r="A188" t="s">
        <v>265</v>
      </c>
      <c r="B188" t="s">
        <v>264</v>
      </c>
      <c r="C188" t="s">
        <v>119</v>
      </c>
      <c r="D188" t="b">
        <v>1</v>
      </c>
      <c r="E188" t="s">
        <v>142</v>
      </c>
      <c r="F188">
        <v>0</v>
      </c>
      <c r="G188">
        <v>1</v>
      </c>
      <c r="H188" t="s">
        <v>266</v>
      </c>
      <c r="I188">
        <v>4</v>
      </c>
      <c r="J188" t="s">
        <v>1270</v>
      </c>
      <c r="K188" t="s">
        <v>918</v>
      </c>
      <c r="L188" t="s">
        <v>1271</v>
      </c>
      <c r="M188" t="s">
        <v>919</v>
      </c>
    </row>
    <row r="189" spans="1:63" x14ac:dyDescent="0.25">
      <c r="A189" t="s">
        <v>267</v>
      </c>
      <c r="B189" t="s">
        <v>264</v>
      </c>
      <c r="C189" t="s">
        <v>119</v>
      </c>
      <c r="D189" t="b">
        <v>1</v>
      </c>
      <c r="E189" t="s">
        <v>142</v>
      </c>
      <c r="F189">
        <v>0</v>
      </c>
      <c r="G189">
        <v>1</v>
      </c>
      <c r="H189" t="s">
        <v>268</v>
      </c>
      <c r="I189">
        <v>4</v>
      </c>
      <c r="J189" t="s">
        <v>1270</v>
      </c>
      <c r="K189" t="s">
        <v>918</v>
      </c>
      <c r="L189" t="s">
        <v>1271</v>
      </c>
      <c r="M189" t="s">
        <v>919</v>
      </c>
    </row>
    <row r="190" spans="1:63" x14ac:dyDescent="0.25">
      <c r="A190" t="s">
        <v>269</v>
      </c>
      <c r="B190" t="s">
        <v>264</v>
      </c>
      <c r="C190" t="s">
        <v>119</v>
      </c>
      <c r="D190" t="b">
        <v>1</v>
      </c>
      <c r="E190" t="s">
        <v>142</v>
      </c>
      <c r="F190">
        <v>0</v>
      </c>
      <c r="G190">
        <v>1</v>
      </c>
      <c r="H190" t="s">
        <v>270</v>
      </c>
      <c r="I190">
        <v>4</v>
      </c>
      <c r="J190" t="s">
        <v>1270</v>
      </c>
      <c r="K190" t="s">
        <v>918</v>
      </c>
      <c r="L190" t="s">
        <v>1271</v>
      </c>
      <c r="M190" t="s">
        <v>919</v>
      </c>
    </row>
    <row r="191" spans="1:63" x14ac:dyDescent="0.25">
      <c r="A191" t="s">
        <v>271</v>
      </c>
      <c r="B191" t="s">
        <v>264</v>
      </c>
      <c r="C191" t="s">
        <v>119</v>
      </c>
      <c r="D191" t="b">
        <v>1</v>
      </c>
      <c r="E191" t="s">
        <v>142</v>
      </c>
      <c r="F191">
        <v>0</v>
      </c>
      <c r="G191">
        <v>1</v>
      </c>
      <c r="H191" t="s">
        <v>272</v>
      </c>
      <c r="I191">
        <v>4</v>
      </c>
      <c r="J191" t="s">
        <v>1270</v>
      </c>
      <c r="K191" t="s">
        <v>918</v>
      </c>
      <c r="L191" t="s">
        <v>1271</v>
      </c>
      <c r="M191" t="s">
        <v>919</v>
      </c>
    </row>
    <row r="192" spans="1:63" x14ac:dyDescent="0.25">
      <c r="A192" t="s">
        <v>273</v>
      </c>
      <c r="B192" t="s">
        <v>264</v>
      </c>
      <c r="C192" t="s">
        <v>119</v>
      </c>
      <c r="D192" t="b">
        <v>1</v>
      </c>
      <c r="E192" t="s">
        <v>142</v>
      </c>
      <c r="F192">
        <v>0</v>
      </c>
      <c r="G192">
        <v>1</v>
      </c>
      <c r="H192" t="s">
        <v>274</v>
      </c>
      <c r="I192">
        <v>4</v>
      </c>
      <c r="J192" t="s">
        <v>1270</v>
      </c>
      <c r="K192" t="s">
        <v>918</v>
      </c>
      <c r="L192" t="s">
        <v>1271</v>
      </c>
      <c r="M192" t="s">
        <v>919</v>
      </c>
    </row>
    <row r="193" spans="1:52" x14ac:dyDescent="0.25">
      <c r="A193" t="s">
        <v>275</v>
      </c>
      <c r="B193" t="s">
        <v>264</v>
      </c>
      <c r="C193" t="s">
        <v>119</v>
      </c>
      <c r="D193" t="b">
        <v>1</v>
      </c>
      <c r="E193" t="s">
        <v>142</v>
      </c>
      <c r="F193">
        <v>0</v>
      </c>
      <c r="G193">
        <v>1</v>
      </c>
      <c r="H193" t="s">
        <v>276</v>
      </c>
      <c r="I193">
        <v>4</v>
      </c>
      <c r="J193" t="s">
        <v>1270</v>
      </c>
      <c r="K193" t="s">
        <v>918</v>
      </c>
      <c r="L193" t="s">
        <v>1271</v>
      </c>
      <c r="M193" t="s">
        <v>919</v>
      </c>
    </row>
    <row r="194" spans="1:52" x14ac:dyDescent="0.25">
      <c r="A194" t="s">
        <v>4</v>
      </c>
      <c r="B194" t="s">
        <v>30</v>
      </c>
      <c r="C194" t="s">
        <v>28</v>
      </c>
      <c r="D194" t="b">
        <v>0</v>
      </c>
      <c r="F194">
        <v>1</v>
      </c>
      <c r="G194">
        <v>1</v>
      </c>
      <c r="H194" t="s">
        <v>277</v>
      </c>
      <c r="I194">
        <v>0</v>
      </c>
    </row>
    <row r="195" spans="1:52" x14ac:dyDescent="0.25">
      <c r="A195" t="s">
        <v>2</v>
      </c>
      <c r="B195" t="s">
        <v>4</v>
      </c>
      <c r="C195" t="s">
        <v>30</v>
      </c>
      <c r="D195" t="b">
        <v>1</v>
      </c>
      <c r="E195" t="s">
        <v>33</v>
      </c>
      <c r="F195">
        <v>1</v>
      </c>
      <c r="G195">
        <v>1</v>
      </c>
      <c r="H195" t="s">
        <v>278</v>
      </c>
      <c r="I195">
        <v>6</v>
      </c>
      <c r="J195" t="s">
        <v>1390</v>
      </c>
      <c r="K195" t="s">
        <v>3</v>
      </c>
      <c r="L195" t="s">
        <v>1391</v>
      </c>
      <c r="M195" t="s">
        <v>1392</v>
      </c>
      <c r="N195" t="s">
        <v>1393</v>
      </c>
      <c r="O195" t="s">
        <v>1394</v>
      </c>
    </row>
    <row r="196" spans="1:52" x14ac:dyDescent="0.25">
      <c r="A196" t="s">
        <v>5</v>
      </c>
      <c r="B196" t="s">
        <v>4</v>
      </c>
      <c r="C196" t="s">
        <v>30</v>
      </c>
      <c r="D196" t="b">
        <v>0</v>
      </c>
      <c r="F196">
        <v>1</v>
      </c>
      <c r="G196">
        <v>1</v>
      </c>
      <c r="H196" t="s">
        <v>279</v>
      </c>
      <c r="I196">
        <v>0</v>
      </c>
    </row>
    <row r="197" spans="1:52" x14ac:dyDescent="0.25">
      <c r="A197" t="s">
        <v>71</v>
      </c>
      <c r="B197" t="s">
        <v>5</v>
      </c>
      <c r="C197" t="s">
        <v>4</v>
      </c>
      <c r="D197" t="b">
        <v>1</v>
      </c>
      <c r="E197" t="s">
        <v>33</v>
      </c>
      <c r="F197">
        <v>1</v>
      </c>
      <c r="G197">
        <v>1</v>
      </c>
      <c r="H197" t="s">
        <v>280</v>
      </c>
      <c r="I197">
        <v>5</v>
      </c>
      <c r="J197" t="s">
        <v>1223</v>
      </c>
      <c r="K197" t="s">
        <v>1224</v>
      </c>
      <c r="L197" t="s">
        <v>1225</v>
      </c>
      <c r="M197" t="s">
        <v>1226</v>
      </c>
      <c r="N197" t="s">
        <v>1227</v>
      </c>
    </row>
    <row r="198" spans="1:52" x14ac:dyDescent="0.25">
      <c r="A198" t="s">
        <v>281</v>
      </c>
      <c r="B198" t="s">
        <v>5</v>
      </c>
      <c r="C198" t="s">
        <v>4</v>
      </c>
      <c r="D198" t="b">
        <v>1</v>
      </c>
      <c r="E198" t="s">
        <v>33</v>
      </c>
      <c r="F198">
        <v>0</v>
      </c>
      <c r="G198">
        <v>1</v>
      </c>
      <c r="H198" t="s">
        <v>282</v>
      </c>
      <c r="I198">
        <v>6</v>
      </c>
      <c r="J198" t="s">
        <v>1395</v>
      </c>
      <c r="K198" t="s">
        <v>1396</v>
      </c>
      <c r="L198" t="s">
        <v>1397</v>
      </c>
      <c r="M198" t="s">
        <v>1398</v>
      </c>
      <c r="N198" t="s">
        <v>1399</v>
      </c>
      <c r="O198" t="s">
        <v>1400</v>
      </c>
    </row>
    <row r="199" spans="1:52" x14ac:dyDescent="0.25">
      <c r="A199" t="s">
        <v>7</v>
      </c>
      <c r="B199" t="s">
        <v>5</v>
      </c>
      <c r="C199" t="s">
        <v>4</v>
      </c>
      <c r="D199" t="b">
        <v>1</v>
      </c>
      <c r="E199" t="s">
        <v>152</v>
      </c>
      <c r="F199">
        <v>1</v>
      </c>
      <c r="G199">
        <v>1</v>
      </c>
      <c r="H199" t="s">
        <v>283</v>
      </c>
      <c r="I199">
        <v>0</v>
      </c>
    </row>
    <row r="200" spans="1:52" x14ac:dyDescent="0.25">
      <c r="A200" t="s">
        <v>284</v>
      </c>
      <c r="B200" t="s">
        <v>5</v>
      </c>
      <c r="C200" t="s">
        <v>4</v>
      </c>
      <c r="D200" t="b">
        <v>1</v>
      </c>
      <c r="E200" t="s">
        <v>152</v>
      </c>
      <c r="F200">
        <v>1</v>
      </c>
      <c r="G200">
        <v>1</v>
      </c>
      <c r="H200" t="s">
        <v>285</v>
      </c>
      <c r="I200">
        <v>0</v>
      </c>
    </row>
    <row r="201" spans="1:52" x14ac:dyDescent="0.25">
      <c r="A201" t="s">
        <v>286</v>
      </c>
      <c r="B201" t="s">
        <v>5</v>
      </c>
      <c r="C201" t="s">
        <v>4</v>
      </c>
      <c r="D201" t="b">
        <v>1</v>
      </c>
      <c r="E201" t="s">
        <v>33</v>
      </c>
      <c r="F201">
        <v>1</v>
      </c>
      <c r="G201">
        <v>1</v>
      </c>
      <c r="H201" t="s">
        <v>287</v>
      </c>
      <c r="I201">
        <v>10</v>
      </c>
      <c r="J201" t="s">
        <v>1401</v>
      </c>
      <c r="K201" t="s">
        <v>1402</v>
      </c>
      <c r="L201" t="s">
        <v>1403</v>
      </c>
      <c r="M201" t="s">
        <v>1404</v>
      </c>
      <c r="N201" t="s">
        <v>1405</v>
      </c>
      <c r="O201" t="s">
        <v>923</v>
      </c>
      <c r="P201" t="s">
        <v>1406</v>
      </c>
      <c r="Q201" t="s">
        <v>1407</v>
      </c>
      <c r="R201" t="s">
        <v>1408</v>
      </c>
      <c r="S201" t="s">
        <v>1409</v>
      </c>
    </row>
    <row r="202" spans="1:52" x14ac:dyDescent="0.25">
      <c r="A202" t="s">
        <v>288</v>
      </c>
      <c r="B202" t="s">
        <v>5</v>
      </c>
      <c r="C202" t="s">
        <v>4</v>
      </c>
      <c r="D202" t="b">
        <v>1</v>
      </c>
      <c r="E202" t="s">
        <v>33</v>
      </c>
      <c r="F202">
        <v>1</v>
      </c>
      <c r="G202">
        <v>1</v>
      </c>
      <c r="H202" t="s">
        <v>289</v>
      </c>
      <c r="I202">
        <v>4</v>
      </c>
      <c r="J202" t="s">
        <v>1410</v>
      </c>
      <c r="K202" t="s">
        <v>1411</v>
      </c>
      <c r="L202" t="s">
        <v>1412</v>
      </c>
      <c r="M202" t="s">
        <v>1413</v>
      </c>
    </row>
    <row r="203" spans="1:52" x14ac:dyDescent="0.25">
      <c r="A203" t="s">
        <v>290</v>
      </c>
      <c r="B203" t="s">
        <v>5</v>
      </c>
      <c r="C203" t="s">
        <v>4</v>
      </c>
      <c r="D203" t="b">
        <v>1</v>
      </c>
      <c r="E203" t="s">
        <v>33</v>
      </c>
      <c r="F203">
        <v>1</v>
      </c>
      <c r="G203">
        <v>1</v>
      </c>
      <c r="H203" t="s">
        <v>291</v>
      </c>
      <c r="I203">
        <v>3</v>
      </c>
      <c r="J203" t="s">
        <v>1414</v>
      </c>
      <c r="K203" t="s">
        <v>1415</v>
      </c>
      <c r="L203" t="s">
        <v>1416</v>
      </c>
    </row>
    <row r="204" spans="1:52" x14ac:dyDescent="0.25">
      <c r="A204" t="s">
        <v>292</v>
      </c>
      <c r="B204" t="s">
        <v>5</v>
      </c>
      <c r="C204" t="s">
        <v>4</v>
      </c>
      <c r="D204" t="b">
        <v>1</v>
      </c>
      <c r="E204" t="s">
        <v>142</v>
      </c>
      <c r="F204">
        <v>0</v>
      </c>
      <c r="G204">
        <v>1</v>
      </c>
      <c r="H204" t="s">
        <v>293</v>
      </c>
      <c r="I204">
        <v>4</v>
      </c>
      <c r="J204" t="s">
        <v>1270</v>
      </c>
      <c r="K204" t="s">
        <v>918</v>
      </c>
      <c r="L204" t="s">
        <v>1271</v>
      </c>
      <c r="M204" t="s">
        <v>919</v>
      </c>
    </row>
    <row r="205" spans="1:52" x14ac:dyDescent="0.25">
      <c r="A205" t="s">
        <v>294</v>
      </c>
      <c r="B205" t="s">
        <v>5</v>
      </c>
      <c r="C205" t="s">
        <v>4</v>
      </c>
      <c r="D205" t="b">
        <v>1</v>
      </c>
      <c r="E205" t="s">
        <v>33</v>
      </c>
      <c r="F205">
        <v>0</v>
      </c>
      <c r="G205">
        <v>1</v>
      </c>
      <c r="H205" t="s">
        <v>295</v>
      </c>
      <c r="I205">
        <v>0</v>
      </c>
    </row>
    <row r="206" spans="1:52" x14ac:dyDescent="0.25">
      <c r="A206" t="s">
        <v>296</v>
      </c>
      <c r="B206" t="s">
        <v>5</v>
      </c>
      <c r="C206" t="s">
        <v>4</v>
      </c>
      <c r="D206" t="b">
        <v>1</v>
      </c>
      <c r="E206" t="s">
        <v>152</v>
      </c>
      <c r="F206">
        <v>0</v>
      </c>
      <c r="G206">
        <v>1</v>
      </c>
      <c r="H206" t="s">
        <v>293</v>
      </c>
      <c r="I206">
        <v>0</v>
      </c>
    </row>
    <row r="207" spans="1:52" x14ac:dyDescent="0.25">
      <c r="A207" t="s">
        <v>297</v>
      </c>
      <c r="B207" t="s">
        <v>5</v>
      </c>
      <c r="C207" t="s">
        <v>4</v>
      </c>
      <c r="D207" t="b">
        <v>1</v>
      </c>
      <c r="E207" t="s">
        <v>33</v>
      </c>
      <c r="F207">
        <v>0</v>
      </c>
      <c r="G207">
        <v>1</v>
      </c>
      <c r="H207" t="s">
        <v>293</v>
      </c>
      <c r="I207">
        <v>43</v>
      </c>
      <c r="J207" t="s">
        <v>916</v>
      </c>
      <c r="K207" t="s">
        <v>1417</v>
      </c>
      <c r="L207" t="s">
        <v>1418</v>
      </c>
      <c r="M207" t="s">
        <v>1419</v>
      </c>
      <c r="N207" t="s">
        <v>1420</v>
      </c>
      <c r="O207" t="s">
        <v>1421</v>
      </c>
      <c r="P207" t="s">
        <v>1422</v>
      </c>
      <c r="Q207" t="s">
        <v>1423</v>
      </c>
      <c r="R207" t="s">
        <v>1424</v>
      </c>
      <c r="S207" t="s">
        <v>1425</v>
      </c>
      <c r="T207" t="s">
        <v>1426</v>
      </c>
      <c r="U207" t="s">
        <v>1427</v>
      </c>
      <c r="V207" t="s">
        <v>1428</v>
      </c>
      <c r="W207" t="s">
        <v>1429</v>
      </c>
      <c r="X207" t="s">
        <v>1430</v>
      </c>
      <c r="Y207" t="s">
        <v>1431</v>
      </c>
      <c r="Z207" t="s">
        <v>1432</v>
      </c>
      <c r="AA207" t="s">
        <v>1433</v>
      </c>
      <c r="AB207" t="s">
        <v>1434</v>
      </c>
      <c r="AC207" t="s">
        <v>1435</v>
      </c>
      <c r="AD207" t="s">
        <v>1436</v>
      </c>
      <c r="AE207" t="s">
        <v>1437</v>
      </c>
      <c r="AF207" t="s">
        <v>1438</v>
      </c>
      <c r="AG207" t="s">
        <v>1439</v>
      </c>
      <c r="AH207" t="s">
        <v>1440</v>
      </c>
      <c r="AI207" t="s">
        <v>1441</v>
      </c>
      <c r="AJ207" t="s">
        <v>1442</v>
      </c>
      <c r="AK207" t="s">
        <v>1443</v>
      </c>
      <c r="AL207" t="s">
        <v>1444</v>
      </c>
      <c r="AM207" t="s">
        <v>1445</v>
      </c>
      <c r="AN207" t="s">
        <v>1446</v>
      </c>
      <c r="AO207" t="s">
        <v>1447</v>
      </c>
      <c r="AP207" t="s">
        <v>1448</v>
      </c>
      <c r="AQ207" t="s">
        <v>1449</v>
      </c>
      <c r="AR207" t="s">
        <v>1450</v>
      </c>
      <c r="AS207" t="s">
        <v>1451</v>
      </c>
      <c r="AT207" t="s">
        <v>1452</v>
      </c>
      <c r="AU207" t="s">
        <v>1453</v>
      </c>
      <c r="AV207" t="s">
        <v>1454</v>
      </c>
      <c r="AW207" t="s">
        <v>1455</v>
      </c>
      <c r="AX207" t="s">
        <v>1456</v>
      </c>
      <c r="AY207" t="s">
        <v>1457</v>
      </c>
      <c r="AZ207" t="s">
        <v>1458</v>
      </c>
    </row>
    <row r="208" spans="1:52" x14ac:dyDescent="0.25">
      <c r="A208" t="s">
        <v>298</v>
      </c>
      <c r="B208" t="s">
        <v>5</v>
      </c>
      <c r="C208" t="s">
        <v>4</v>
      </c>
      <c r="D208" t="b">
        <v>1</v>
      </c>
      <c r="E208" t="s">
        <v>152</v>
      </c>
      <c r="F208">
        <v>0</v>
      </c>
      <c r="G208">
        <v>1</v>
      </c>
      <c r="H208" t="s">
        <v>293</v>
      </c>
      <c r="I208">
        <v>0</v>
      </c>
    </row>
    <row r="209" spans="1:52" x14ac:dyDescent="0.25">
      <c r="A209" t="s">
        <v>299</v>
      </c>
      <c r="B209" t="s">
        <v>5</v>
      </c>
      <c r="C209" t="s">
        <v>4</v>
      </c>
      <c r="D209" t="b">
        <v>1</v>
      </c>
      <c r="E209" t="s">
        <v>33</v>
      </c>
      <c r="F209">
        <v>0</v>
      </c>
      <c r="G209">
        <v>1</v>
      </c>
      <c r="H209" t="s">
        <v>293</v>
      </c>
      <c r="I209">
        <v>43</v>
      </c>
      <c r="J209" t="s">
        <v>916</v>
      </c>
      <c r="K209" t="s">
        <v>1417</v>
      </c>
      <c r="L209" t="s">
        <v>1418</v>
      </c>
      <c r="M209" t="s">
        <v>1419</v>
      </c>
      <c r="N209" t="s">
        <v>1420</v>
      </c>
      <c r="O209" t="s">
        <v>1421</v>
      </c>
      <c r="P209" t="s">
        <v>1422</v>
      </c>
      <c r="Q209" t="s">
        <v>1423</v>
      </c>
      <c r="R209" t="s">
        <v>1424</v>
      </c>
      <c r="S209" t="s">
        <v>1425</v>
      </c>
      <c r="T209" t="s">
        <v>1426</v>
      </c>
      <c r="U209" t="s">
        <v>1427</v>
      </c>
      <c r="V209" t="s">
        <v>1428</v>
      </c>
      <c r="W209" t="s">
        <v>1429</v>
      </c>
      <c r="X209" t="s">
        <v>1430</v>
      </c>
      <c r="Y209" t="s">
        <v>1431</v>
      </c>
      <c r="Z209" t="s">
        <v>1432</v>
      </c>
      <c r="AA209" t="s">
        <v>1433</v>
      </c>
      <c r="AB209" t="s">
        <v>1434</v>
      </c>
      <c r="AC209" t="s">
        <v>1435</v>
      </c>
      <c r="AD209" t="s">
        <v>1436</v>
      </c>
      <c r="AE209" t="s">
        <v>1437</v>
      </c>
      <c r="AF209" t="s">
        <v>1438</v>
      </c>
      <c r="AG209" t="s">
        <v>1439</v>
      </c>
      <c r="AH209" t="s">
        <v>1440</v>
      </c>
      <c r="AI209" t="s">
        <v>1441</v>
      </c>
      <c r="AJ209" t="s">
        <v>1442</v>
      </c>
      <c r="AK209" t="s">
        <v>1443</v>
      </c>
      <c r="AL209" t="s">
        <v>1444</v>
      </c>
      <c r="AM209" t="s">
        <v>1445</v>
      </c>
      <c r="AN209" t="s">
        <v>1446</v>
      </c>
      <c r="AO209" t="s">
        <v>1447</v>
      </c>
      <c r="AP209" t="s">
        <v>1448</v>
      </c>
      <c r="AQ209" t="s">
        <v>1449</v>
      </c>
      <c r="AR209" t="s">
        <v>1450</v>
      </c>
      <c r="AS209" t="s">
        <v>1451</v>
      </c>
      <c r="AT209" t="s">
        <v>1452</v>
      </c>
      <c r="AU209" t="s">
        <v>1453</v>
      </c>
      <c r="AV209" t="s">
        <v>1454</v>
      </c>
      <c r="AW209" t="s">
        <v>1455</v>
      </c>
      <c r="AX209" t="s">
        <v>1456</v>
      </c>
      <c r="AY209" t="s">
        <v>1457</v>
      </c>
      <c r="AZ209" t="s">
        <v>1458</v>
      </c>
    </row>
    <row r="210" spans="1:52" x14ac:dyDescent="0.25">
      <c r="A210" t="s">
        <v>300</v>
      </c>
      <c r="B210" t="s">
        <v>5</v>
      </c>
      <c r="C210" t="s">
        <v>4</v>
      </c>
      <c r="D210" t="b">
        <v>1</v>
      </c>
      <c r="E210" t="s">
        <v>33</v>
      </c>
      <c r="F210">
        <v>1</v>
      </c>
      <c r="G210">
        <v>1</v>
      </c>
      <c r="H210" t="s">
        <v>301</v>
      </c>
      <c r="I210">
        <v>3</v>
      </c>
      <c r="J210" t="s">
        <v>1459</v>
      </c>
      <c r="K210" t="s">
        <v>1460</v>
      </c>
      <c r="L210" t="s">
        <v>1461</v>
      </c>
    </row>
    <row r="211" spans="1:52" x14ac:dyDescent="0.25">
      <c r="A211" t="s">
        <v>6</v>
      </c>
      <c r="B211" t="s">
        <v>5</v>
      </c>
      <c r="C211" t="s">
        <v>4</v>
      </c>
      <c r="D211" t="b">
        <v>1</v>
      </c>
      <c r="E211" t="s">
        <v>33</v>
      </c>
      <c r="F211">
        <v>1</v>
      </c>
      <c r="G211">
        <v>1</v>
      </c>
      <c r="H211" t="s">
        <v>302</v>
      </c>
      <c r="I211">
        <v>2</v>
      </c>
      <c r="J211" t="s">
        <v>909</v>
      </c>
      <c r="K211" t="s">
        <v>1462</v>
      </c>
    </row>
    <row r="212" spans="1:52" x14ac:dyDescent="0.25">
      <c r="A212" t="s">
        <v>8</v>
      </c>
      <c r="B212" t="s">
        <v>5</v>
      </c>
      <c r="C212" t="s">
        <v>4</v>
      </c>
      <c r="D212" t="b">
        <v>1</v>
      </c>
      <c r="E212" t="s">
        <v>33</v>
      </c>
      <c r="F212">
        <v>1</v>
      </c>
      <c r="G212">
        <v>1</v>
      </c>
      <c r="H212" t="s">
        <v>303</v>
      </c>
      <c r="I212">
        <v>4</v>
      </c>
      <c r="J212" t="s">
        <v>1463</v>
      </c>
      <c r="K212" t="s">
        <v>910</v>
      </c>
      <c r="L212" t="s">
        <v>1464</v>
      </c>
      <c r="M212" t="s">
        <v>1465</v>
      </c>
    </row>
    <row r="213" spans="1:52" x14ac:dyDescent="0.25">
      <c r="A213" t="s">
        <v>304</v>
      </c>
      <c r="B213" t="s">
        <v>5</v>
      </c>
      <c r="C213" t="s">
        <v>4</v>
      </c>
      <c r="D213" t="b">
        <v>1</v>
      </c>
      <c r="E213" t="s">
        <v>152</v>
      </c>
      <c r="F213">
        <v>0</v>
      </c>
      <c r="G213">
        <v>1</v>
      </c>
      <c r="H213" t="s">
        <v>305</v>
      </c>
      <c r="I213">
        <v>0</v>
      </c>
    </row>
    <row r="214" spans="1:52" x14ac:dyDescent="0.25">
      <c r="A214" t="s">
        <v>306</v>
      </c>
      <c r="B214" t="s">
        <v>5</v>
      </c>
      <c r="C214" t="s">
        <v>4</v>
      </c>
      <c r="D214" t="b">
        <v>1</v>
      </c>
      <c r="E214" t="s">
        <v>152</v>
      </c>
      <c r="F214">
        <v>0</v>
      </c>
      <c r="G214">
        <v>1</v>
      </c>
      <c r="H214" t="s">
        <v>307</v>
      </c>
      <c r="I214">
        <v>0</v>
      </c>
    </row>
    <row r="215" spans="1:52" x14ac:dyDescent="0.25">
      <c r="A215" t="s">
        <v>308</v>
      </c>
      <c r="B215" t="s">
        <v>5</v>
      </c>
      <c r="C215" t="s">
        <v>4</v>
      </c>
      <c r="D215" t="b">
        <v>1</v>
      </c>
      <c r="E215" t="s">
        <v>142</v>
      </c>
      <c r="F215">
        <v>1</v>
      </c>
      <c r="G215">
        <v>1</v>
      </c>
      <c r="H215" t="s">
        <v>29</v>
      </c>
      <c r="I215">
        <v>4</v>
      </c>
      <c r="J215" t="s">
        <v>1270</v>
      </c>
      <c r="K215" t="s">
        <v>918</v>
      </c>
      <c r="L215" t="s">
        <v>1271</v>
      </c>
      <c r="M215" t="s">
        <v>919</v>
      </c>
    </row>
    <row r="216" spans="1:52" x14ac:dyDescent="0.25">
      <c r="A216" t="s">
        <v>309</v>
      </c>
      <c r="B216" t="s">
        <v>5</v>
      </c>
      <c r="C216" t="s">
        <v>4</v>
      </c>
      <c r="D216" t="b">
        <v>1</v>
      </c>
      <c r="E216" t="s">
        <v>142</v>
      </c>
      <c r="F216">
        <v>1</v>
      </c>
      <c r="G216">
        <v>1</v>
      </c>
      <c r="H216" t="s">
        <v>29</v>
      </c>
      <c r="I216">
        <v>4</v>
      </c>
      <c r="J216" t="s">
        <v>1270</v>
      </c>
      <c r="K216" t="s">
        <v>918</v>
      </c>
      <c r="L216" t="s">
        <v>1271</v>
      </c>
      <c r="M216" t="s">
        <v>919</v>
      </c>
    </row>
    <row r="217" spans="1:52" x14ac:dyDescent="0.25">
      <c r="A217" t="s">
        <v>310</v>
      </c>
      <c r="B217" t="s">
        <v>5</v>
      </c>
      <c r="C217" t="s">
        <v>4</v>
      </c>
      <c r="D217" t="b">
        <v>1</v>
      </c>
      <c r="E217" t="s">
        <v>142</v>
      </c>
      <c r="F217">
        <v>1</v>
      </c>
      <c r="G217">
        <v>1</v>
      </c>
      <c r="H217" t="s">
        <v>29</v>
      </c>
      <c r="I217">
        <v>4</v>
      </c>
      <c r="J217" t="s">
        <v>1270</v>
      </c>
      <c r="K217" t="s">
        <v>918</v>
      </c>
      <c r="L217" t="s">
        <v>1271</v>
      </c>
      <c r="M217" t="s">
        <v>919</v>
      </c>
    </row>
    <row r="218" spans="1:52" x14ac:dyDescent="0.25">
      <c r="A218" t="s">
        <v>311</v>
      </c>
      <c r="B218" t="s">
        <v>5</v>
      </c>
      <c r="C218" t="s">
        <v>4</v>
      </c>
      <c r="D218" t="b">
        <v>1</v>
      </c>
      <c r="E218" t="s">
        <v>33</v>
      </c>
      <c r="F218">
        <v>0</v>
      </c>
      <c r="G218">
        <v>1</v>
      </c>
      <c r="H218" t="s">
        <v>29</v>
      </c>
      <c r="I218">
        <v>3</v>
      </c>
      <c r="J218" t="s">
        <v>1466</v>
      </c>
      <c r="K218" t="s">
        <v>1467</v>
      </c>
      <c r="L218" t="s">
        <v>1468</v>
      </c>
    </row>
    <row r="219" spans="1:52" x14ac:dyDescent="0.25">
      <c r="A219" t="s">
        <v>312</v>
      </c>
      <c r="B219" t="s">
        <v>5</v>
      </c>
      <c r="C219" t="s">
        <v>4</v>
      </c>
      <c r="D219" t="b">
        <v>1</v>
      </c>
      <c r="E219" t="s">
        <v>142</v>
      </c>
      <c r="F219">
        <v>0</v>
      </c>
      <c r="G219">
        <v>1</v>
      </c>
      <c r="H219" t="s">
        <v>313</v>
      </c>
      <c r="I219">
        <v>4</v>
      </c>
      <c r="J219" t="s">
        <v>1270</v>
      </c>
      <c r="K219" t="s">
        <v>918</v>
      </c>
      <c r="L219" t="s">
        <v>1271</v>
      </c>
      <c r="M219" t="s">
        <v>919</v>
      </c>
    </row>
    <row r="220" spans="1:52" x14ac:dyDescent="0.25">
      <c r="A220" t="s">
        <v>314</v>
      </c>
      <c r="B220" t="s">
        <v>5</v>
      </c>
      <c r="C220" t="s">
        <v>4</v>
      </c>
      <c r="D220" t="b">
        <v>1</v>
      </c>
      <c r="E220" t="s">
        <v>152</v>
      </c>
      <c r="F220">
        <v>0</v>
      </c>
      <c r="G220">
        <v>1</v>
      </c>
      <c r="H220" t="s">
        <v>315</v>
      </c>
      <c r="I220">
        <v>0</v>
      </c>
    </row>
    <row r="221" spans="1:52" x14ac:dyDescent="0.25">
      <c r="A221" t="s">
        <v>316</v>
      </c>
      <c r="B221" t="s">
        <v>5</v>
      </c>
      <c r="C221" t="s">
        <v>4</v>
      </c>
      <c r="D221" t="b">
        <v>1</v>
      </c>
      <c r="E221" t="s">
        <v>142</v>
      </c>
      <c r="F221">
        <v>0</v>
      </c>
      <c r="G221">
        <v>1</v>
      </c>
      <c r="H221" t="s">
        <v>317</v>
      </c>
      <c r="I221">
        <v>4</v>
      </c>
      <c r="J221" t="s">
        <v>1270</v>
      </c>
      <c r="K221" t="s">
        <v>918</v>
      </c>
      <c r="L221" t="s">
        <v>1271</v>
      </c>
      <c r="M221" t="s">
        <v>919</v>
      </c>
    </row>
    <row r="222" spans="1:52" x14ac:dyDescent="0.25">
      <c r="A222" t="s">
        <v>318</v>
      </c>
      <c r="B222" t="s">
        <v>5</v>
      </c>
      <c r="C222" t="s">
        <v>4</v>
      </c>
      <c r="D222" t="b">
        <v>0</v>
      </c>
      <c r="F222">
        <v>1</v>
      </c>
      <c r="G222">
        <v>1</v>
      </c>
      <c r="H222" t="s">
        <v>319</v>
      </c>
      <c r="I222">
        <v>0</v>
      </c>
    </row>
    <row r="223" spans="1:52" x14ac:dyDescent="0.25">
      <c r="A223" t="s">
        <v>320</v>
      </c>
      <c r="B223" t="s">
        <v>318</v>
      </c>
      <c r="C223" t="s">
        <v>5</v>
      </c>
      <c r="D223" t="b">
        <v>1</v>
      </c>
      <c r="E223" t="s">
        <v>42</v>
      </c>
      <c r="F223">
        <v>1</v>
      </c>
      <c r="G223">
        <v>1</v>
      </c>
      <c r="H223" t="s">
        <v>321</v>
      </c>
      <c r="I223">
        <v>0</v>
      </c>
    </row>
    <row r="224" spans="1:52" x14ac:dyDescent="0.25">
      <c r="A224" t="s">
        <v>322</v>
      </c>
      <c r="B224" t="s">
        <v>318</v>
      </c>
      <c r="C224" t="s">
        <v>5</v>
      </c>
      <c r="D224" t="b">
        <v>1</v>
      </c>
      <c r="E224" t="s">
        <v>33</v>
      </c>
      <c r="F224">
        <v>0</v>
      </c>
      <c r="G224">
        <v>1</v>
      </c>
      <c r="H224" t="s">
        <v>323</v>
      </c>
      <c r="I224">
        <v>43</v>
      </c>
      <c r="J224" t="s">
        <v>916</v>
      </c>
      <c r="K224" t="s">
        <v>1417</v>
      </c>
      <c r="L224" t="s">
        <v>1418</v>
      </c>
      <c r="M224" t="s">
        <v>1419</v>
      </c>
      <c r="N224" t="s">
        <v>1420</v>
      </c>
      <c r="O224" t="s">
        <v>1421</v>
      </c>
      <c r="P224" t="s">
        <v>1422</v>
      </c>
      <c r="Q224" t="s">
        <v>1423</v>
      </c>
      <c r="R224" t="s">
        <v>1424</v>
      </c>
      <c r="S224" t="s">
        <v>1425</v>
      </c>
      <c r="T224" t="s">
        <v>1426</v>
      </c>
      <c r="U224" t="s">
        <v>1427</v>
      </c>
      <c r="V224" t="s">
        <v>1428</v>
      </c>
      <c r="W224" t="s">
        <v>1429</v>
      </c>
      <c r="X224" t="s">
        <v>1430</v>
      </c>
      <c r="Y224" t="s">
        <v>1431</v>
      </c>
      <c r="Z224" t="s">
        <v>1432</v>
      </c>
      <c r="AA224" t="s">
        <v>1433</v>
      </c>
      <c r="AB224" t="s">
        <v>1434</v>
      </c>
      <c r="AC224" t="s">
        <v>1435</v>
      </c>
      <c r="AD224" t="s">
        <v>1436</v>
      </c>
      <c r="AE224" t="s">
        <v>1437</v>
      </c>
      <c r="AF224" t="s">
        <v>1438</v>
      </c>
      <c r="AG224" t="s">
        <v>1439</v>
      </c>
      <c r="AH224" t="s">
        <v>1440</v>
      </c>
      <c r="AI224" t="s">
        <v>1441</v>
      </c>
      <c r="AJ224" t="s">
        <v>1442</v>
      </c>
      <c r="AK224" t="s">
        <v>1443</v>
      </c>
      <c r="AL224" t="s">
        <v>1444</v>
      </c>
      <c r="AM224" t="s">
        <v>1445</v>
      </c>
      <c r="AN224" t="s">
        <v>1446</v>
      </c>
      <c r="AO224" t="s">
        <v>1447</v>
      </c>
      <c r="AP224" t="s">
        <v>1448</v>
      </c>
      <c r="AQ224" t="s">
        <v>1449</v>
      </c>
      <c r="AR224" t="s">
        <v>1450</v>
      </c>
      <c r="AS224" t="s">
        <v>1451</v>
      </c>
      <c r="AT224" t="s">
        <v>1452</v>
      </c>
      <c r="AU224" t="s">
        <v>1453</v>
      </c>
      <c r="AV224" t="s">
        <v>1454</v>
      </c>
      <c r="AW224" t="s">
        <v>1455</v>
      </c>
      <c r="AX224" t="s">
        <v>1456</v>
      </c>
      <c r="AY224" t="s">
        <v>1457</v>
      </c>
      <c r="AZ224" t="s">
        <v>1458</v>
      </c>
    </row>
    <row r="225" spans="1:52" x14ac:dyDescent="0.25">
      <c r="A225" t="s">
        <v>144</v>
      </c>
      <c r="B225" t="s">
        <v>318</v>
      </c>
      <c r="C225" t="s">
        <v>5</v>
      </c>
      <c r="D225" t="b">
        <v>1</v>
      </c>
      <c r="E225" t="s">
        <v>142</v>
      </c>
      <c r="F225">
        <v>0</v>
      </c>
      <c r="G225">
        <v>1</v>
      </c>
      <c r="H225" t="s">
        <v>145</v>
      </c>
      <c r="I225">
        <v>4</v>
      </c>
      <c r="J225" t="s">
        <v>1270</v>
      </c>
      <c r="K225" t="s">
        <v>918</v>
      </c>
      <c r="L225" t="s">
        <v>1271</v>
      </c>
      <c r="M225" t="s">
        <v>919</v>
      </c>
    </row>
    <row r="226" spans="1:52" x14ac:dyDescent="0.25">
      <c r="A226" t="s">
        <v>324</v>
      </c>
      <c r="B226" t="s">
        <v>318</v>
      </c>
      <c r="C226" t="s">
        <v>5</v>
      </c>
      <c r="D226" t="b">
        <v>1</v>
      </c>
      <c r="E226" t="s">
        <v>33</v>
      </c>
      <c r="F226">
        <v>1</v>
      </c>
      <c r="G226">
        <v>1</v>
      </c>
      <c r="H226" t="s">
        <v>325</v>
      </c>
      <c r="I226">
        <v>2</v>
      </c>
      <c r="J226" t="s">
        <v>915</v>
      </c>
      <c r="K226" t="s">
        <v>1469</v>
      </c>
    </row>
    <row r="227" spans="1:52" x14ac:dyDescent="0.25">
      <c r="A227" t="s">
        <v>326</v>
      </c>
      <c r="B227" t="s">
        <v>318</v>
      </c>
      <c r="C227" t="s">
        <v>5</v>
      </c>
      <c r="D227" t="b">
        <v>1</v>
      </c>
      <c r="E227" t="s">
        <v>33</v>
      </c>
      <c r="F227">
        <v>0</v>
      </c>
      <c r="G227">
        <v>1</v>
      </c>
      <c r="H227" t="s">
        <v>327</v>
      </c>
      <c r="I227">
        <v>2</v>
      </c>
      <c r="J227" t="s">
        <v>1470</v>
      </c>
      <c r="K227" t="s">
        <v>921</v>
      </c>
    </row>
    <row r="228" spans="1:52" x14ac:dyDescent="0.25">
      <c r="A228" t="s">
        <v>328</v>
      </c>
      <c r="B228" t="s">
        <v>318</v>
      </c>
      <c r="C228" t="s">
        <v>5</v>
      </c>
      <c r="D228" t="b">
        <v>1</v>
      </c>
      <c r="E228" t="s">
        <v>152</v>
      </c>
      <c r="F228">
        <v>0</v>
      </c>
      <c r="G228">
        <v>1</v>
      </c>
      <c r="H228" t="s">
        <v>29</v>
      </c>
      <c r="I228">
        <v>0</v>
      </c>
    </row>
    <row r="229" spans="1:52" x14ac:dyDescent="0.25">
      <c r="A229" t="s">
        <v>329</v>
      </c>
      <c r="B229" t="s">
        <v>318</v>
      </c>
      <c r="C229" t="s">
        <v>5</v>
      </c>
      <c r="D229" t="b">
        <v>1</v>
      </c>
      <c r="E229" t="s">
        <v>33</v>
      </c>
      <c r="F229">
        <v>0</v>
      </c>
      <c r="G229">
        <v>1</v>
      </c>
      <c r="H229" t="s">
        <v>330</v>
      </c>
      <c r="I229">
        <v>0</v>
      </c>
    </row>
    <row r="230" spans="1:52" x14ac:dyDescent="0.25">
      <c r="A230" t="s">
        <v>331</v>
      </c>
      <c r="B230" t="s">
        <v>318</v>
      </c>
      <c r="C230" t="s">
        <v>5</v>
      </c>
      <c r="D230" t="b">
        <v>1</v>
      </c>
      <c r="E230" t="s">
        <v>33</v>
      </c>
      <c r="F230">
        <v>0</v>
      </c>
      <c r="G230">
        <v>1</v>
      </c>
      <c r="H230" t="s">
        <v>332</v>
      </c>
      <c r="I230">
        <v>0</v>
      </c>
    </row>
    <row r="231" spans="1:52" x14ac:dyDescent="0.25">
      <c r="A231" t="s">
        <v>333</v>
      </c>
      <c r="B231" t="s">
        <v>318</v>
      </c>
      <c r="C231" t="s">
        <v>5</v>
      </c>
      <c r="D231" t="b">
        <v>1</v>
      </c>
      <c r="E231" t="s">
        <v>42</v>
      </c>
      <c r="F231">
        <v>0</v>
      </c>
      <c r="G231">
        <v>1</v>
      </c>
      <c r="H231" t="s">
        <v>334</v>
      </c>
      <c r="I231">
        <v>0</v>
      </c>
    </row>
    <row r="232" spans="1:52" x14ac:dyDescent="0.25">
      <c r="A232" t="s">
        <v>335</v>
      </c>
      <c r="B232" t="s">
        <v>318</v>
      </c>
      <c r="C232" t="s">
        <v>5</v>
      </c>
      <c r="D232" t="b">
        <v>1</v>
      </c>
      <c r="E232" t="s">
        <v>33</v>
      </c>
      <c r="F232">
        <v>0</v>
      </c>
      <c r="G232">
        <v>1</v>
      </c>
      <c r="H232" t="s">
        <v>336</v>
      </c>
      <c r="I232">
        <v>43</v>
      </c>
      <c r="J232" t="s">
        <v>916</v>
      </c>
      <c r="K232" t="s">
        <v>1417</v>
      </c>
      <c r="L232" t="s">
        <v>1418</v>
      </c>
      <c r="M232" t="s">
        <v>1419</v>
      </c>
      <c r="N232" t="s">
        <v>1420</v>
      </c>
      <c r="O232" t="s">
        <v>1421</v>
      </c>
      <c r="P232" t="s">
        <v>1422</v>
      </c>
      <c r="Q232" t="s">
        <v>1423</v>
      </c>
      <c r="R232" t="s">
        <v>1424</v>
      </c>
      <c r="S232" t="s">
        <v>1425</v>
      </c>
      <c r="T232" t="s">
        <v>1426</v>
      </c>
      <c r="U232" t="s">
        <v>1427</v>
      </c>
      <c r="V232" t="s">
        <v>1428</v>
      </c>
      <c r="W232" t="s">
        <v>1429</v>
      </c>
      <c r="X232" t="s">
        <v>1430</v>
      </c>
      <c r="Y232" t="s">
        <v>1431</v>
      </c>
      <c r="Z232" t="s">
        <v>1432</v>
      </c>
      <c r="AA232" t="s">
        <v>1433</v>
      </c>
      <c r="AB232" t="s">
        <v>1434</v>
      </c>
      <c r="AC232" t="s">
        <v>1435</v>
      </c>
      <c r="AD232" t="s">
        <v>1436</v>
      </c>
      <c r="AE232" t="s">
        <v>1437</v>
      </c>
      <c r="AF232" t="s">
        <v>1438</v>
      </c>
      <c r="AG232" t="s">
        <v>1439</v>
      </c>
      <c r="AH232" t="s">
        <v>1440</v>
      </c>
      <c r="AI232" t="s">
        <v>1441</v>
      </c>
      <c r="AJ232" t="s">
        <v>1442</v>
      </c>
      <c r="AK232" t="s">
        <v>1443</v>
      </c>
      <c r="AL232" t="s">
        <v>1444</v>
      </c>
      <c r="AM232" t="s">
        <v>1445</v>
      </c>
      <c r="AN232" t="s">
        <v>1446</v>
      </c>
      <c r="AO232" t="s">
        <v>1447</v>
      </c>
      <c r="AP232" t="s">
        <v>1448</v>
      </c>
      <c r="AQ232" t="s">
        <v>1449</v>
      </c>
      <c r="AR232" t="s">
        <v>1450</v>
      </c>
      <c r="AS232" t="s">
        <v>1451</v>
      </c>
      <c r="AT232" t="s">
        <v>1452</v>
      </c>
      <c r="AU232" t="s">
        <v>1453</v>
      </c>
      <c r="AV232" t="s">
        <v>1454</v>
      </c>
      <c r="AW232" t="s">
        <v>1455</v>
      </c>
      <c r="AX232" t="s">
        <v>1456</v>
      </c>
      <c r="AY232" t="s">
        <v>1457</v>
      </c>
      <c r="AZ232" t="s">
        <v>1458</v>
      </c>
    </row>
    <row r="233" spans="1:52" x14ac:dyDescent="0.25">
      <c r="A233" t="s">
        <v>337</v>
      </c>
      <c r="B233" t="s">
        <v>318</v>
      </c>
      <c r="C233" t="s">
        <v>5</v>
      </c>
      <c r="D233" t="b">
        <v>1</v>
      </c>
      <c r="E233" t="s">
        <v>42</v>
      </c>
      <c r="F233">
        <v>0</v>
      </c>
      <c r="G233">
        <v>1</v>
      </c>
      <c r="H233" t="s">
        <v>338</v>
      </c>
      <c r="I233">
        <v>0</v>
      </c>
    </row>
    <row r="234" spans="1:52" x14ac:dyDescent="0.25">
      <c r="A234" t="s">
        <v>339</v>
      </c>
      <c r="B234" t="s">
        <v>318</v>
      </c>
      <c r="C234" t="s">
        <v>5</v>
      </c>
      <c r="D234" t="b">
        <v>1</v>
      </c>
      <c r="E234" t="s">
        <v>33</v>
      </c>
      <c r="F234">
        <v>0</v>
      </c>
      <c r="G234">
        <v>1</v>
      </c>
      <c r="H234" t="s">
        <v>340</v>
      </c>
      <c r="I234">
        <v>5</v>
      </c>
      <c r="J234" t="s">
        <v>1471</v>
      </c>
      <c r="K234" t="s">
        <v>1472</v>
      </c>
      <c r="L234" t="s">
        <v>1473</v>
      </c>
      <c r="M234" t="s">
        <v>1474</v>
      </c>
      <c r="N234" t="s">
        <v>1475</v>
      </c>
    </row>
    <row r="235" spans="1:52" x14ac:dyDescent="0.25">
      <c r="A235" t="s">
        <v>341</v>
      </c>
      <c r="B235" t="s">
        <v>318</v>
      </c>
      <c r="C235" t="s">
        <v>5</v>
      </c>
      <c r="D235" t="b">
        <v>1</v>
      </c>
      <c r="E235" t="s">
        <v>33</v>
      </c>
      <c r="F235">
        <v>0</v>
      </c>
      <c r="G235">
        <v>1</v>
      </c>
      <c r="H235" t="s">
        <v>342</v>
      </c>
      <c r="I235">
        <v>3</v>
      </c>
      <c r="J235" t="s">
        <v>915</v>
      </c>
      <c r="K235" t="s">
        <v>1476</v>
      </c>
      <c r="L235" t="s">
        <v>1477</v>
      </c>
    </row>
    <row r="236" spans="1:52" x14ac:dyDescent="0.25">
      <c r="A236" t="s">
        <v>141</v>
      </c>
      <c r="B236" t="s">
        <v>318</v>
      </c>
      <c r="C236" t="s">
        <v>5</v>
      </c>
      <c r="D236" t="b">
        <v>1</v>
      </c>
      <c r="E236" t="s">
        <v>142</v>
      </c>
      <c r="F236">
        <v>0</v>
      </c>
      <c r="G236">
        <v>1</v>
      </c>
      <c r="H236" t="s">
        <v>143</v>
      </c>
      <c r="I236">
        <v>4</v>
      </c>
      <c r="J236" t="s">
        <v>1270</v>
      </c>
      <c r="K236" t="s">
        <v>918</v>
      </c>
      <c r="L236" t="s">
        <v>1271</v>
      </c>
      <c r="M236" t="s">
        <v>919</v>
      </c>
    </row>
    <row r="237" spans="1:52" x14ac:dyDescent="0.25">
      <c r="A237" t="s">
        <v>343</v>
      </c>
      <c r="B237" t="s">
        <v>318</v>
      </c>
      <c r="C237" t="s">
        <v>5</v>
      </c>
      <c r="D237" t="b">
        <v>1</v>
      </c>
      <c r="E237" t="s">
        <v>33</v>
      </c>
      <c r="F237">
        <v>0</v>
      </c>
      <c r="G237">
        <v>1</v>
      </c>
      <c r="H237" t="s">
        <v>344</v>
      </c>
      <c r="I237">
        <v>2</v>
      </c>
      <c r="J237" t="s">
        <v>1478</v>
      </c>
      <c r="K237" t="s">
        <v>1479</v>
      </c>
    </row>
    <row r="238" spans="1:52" x14ac:dyDescent="0.25">
      <c r="A238" t="s">
        <v>345</v>
      </c>
      <c r="B238" t="s">
        <v>318</v>
      </c>
      <c r="C238" t="s">
        <v>5</v>
      </c>
      <c r="D238" t="b">
        <v>1</v>
      </c>
      <c r="E238" t="s">
        <v>142</v>
      </c>
      <c r="F238">
        <v>0</v>
      </c>
      <c r="G238">
        <v>1</v>
      </c>
      <c r="H238" t="s">
        <v>346</v>
      </c>
      <c r="I238">
        <v>4</v>
      </c>
      <c r="J238" t="s">
        <v>1270</v>
      </c>
      <c r="K238" t="s">
        <v>918</v>
      </c>
      <c r="L238" t="s">
        <v>1271</v>
      </c>
      <c r="M238" t="s">
        <v>919</v>
      </c>
    </row>
    <row r="239" spans="1:52" x14ac:dyDescent="0.25">
      <c r="A239" t="s">
        <v>347</v>
      </c>
      <c r="B239" t="s">
        <v>318</v>
      </c>
      <c r="C239" t="s">
        <v>5</v>
      </c>
      <c r="D239" t="b">
        <v>1</v>
      </c>
      <c r="E239" t="s">
        <v>142</v>
      </c>
      <c r="F239">
        <v>0</v>
      </c>
      <c r="G239">
        <v>1</v>
      </c>
      <c r="H239" t="s">
        <v>348</v>
      </c>
      <c r="I239">
        <v>4</v>
      </c>
      <c r="J239" t="s">
        <v>1270</v>
      </c>
      <c r="K239" t="s">
        <v>918</v>
      </c>
      <c r="L239" t="s">
        <v>1271</v>
      </c>
      <c r="M239" t="s">
        <v>919</v>
      </c>
    </row>
    <row r="240" spans="1:52" x14ac:dyDescent="0.25">
      <c r="A240" t="s">
        <v>349</v>
      </c>
      <c r="B240" t="s">
        <v>318</v>
      </c>
      <c r="C240" t="s">
        <v>5</v>
      </c>
      <c r="D240" t="b">
        <v>1</v>
      </c>
      <c r="E240" t="s">
        <v>142</v>
      </c>
      <c r="F240">
        <v>0</v>
      </c>
      <c r="G240">
        <v>1</v>
      </c>
      <c r="H240" t="s">
        <v>350</v>
      </c>
      <c r="I240">
        <v>4</v>
      </c>
      <c r="J240" t="s">
        <v>1270</v>
      </c>
      <c r="K240" t="s">
        <v>918</v>
      </c>
      <c r="L240" t="s">
        <v>1271</v>
      </c>
      <c r="M240" t="s">
        <v>919</v>
      </c>
    </row>
    <row r="241" spans="1:13" x14ac:dyDescent="0.25">
      <c r="A241" t="s">
        <v>351</v>
      </c>
      <c r="B241" t="s">
        <v>318</v>
      </c>
      <c r="C241" t="s">
        <v>5</v>
      </c>
      <c r="D241" t="b">
        <v>1</v>
      </c>
      <c r="E241" t="s">
        <v>142</v>
      </c>
      <c r="F241">
        <v>0</v>
      </c>
      <c r="G241">
        <v>1</v>
      </c>
      <c r="H241" t="s">
        <v>352</v>
      </c>
      <c r="I241">
        <v>4</v>
      </c>
      <c r="J241" t="s">
        <v>1270</v>
      </c>
      <c r="K241" t="s">
        <v>918</v>
      </c>
      <c r="L241" t="s">
        <v>1271</v>
      </c>
      <c r="M241" t="s">
        <v>919</v>
      </c>
    </row>
    <row r="242" spans="1:13" x14ac:dyDescent="0.25">
      <c r="A242" t="s">
        <v>353</v>
      </c>
      <c r="B242" t="s">
        <v>318</v>
      </c>
      <c r="C242" t="s">
        <v>5</v>
      </c>
      <c r="D242" t="b">
        <v>1</v>
      </c>
      <c r="E242" t="s">
        <v>33</v>
      </c>
      <c r="F242">
        <v>0</v>
      </c>
      <c r="G242">
        <v>1</v>
      </c>
      <c r="H242" t="s">
        <v>354</v>
      </c>
      <c r="I242">
        <v>0</v>
      </c>
    </row>
    <row r="243" spans="1:13" x14ac:dyDescent="0.25">
      <c r="A243" t="s">
        <v>355</v>
      </c>
      <c r="B243" t="s">
        <v>318</v>
      </c>
      <c r="C243" t="s">
        <v>5</v>
      </c>
      <c r="D243" t="b">
        <v>1</v>
      </c>
      <c r="E243" t="s">
        <v>33</v>
      </c>
      <c r="F243">
        <v>0</v>
      </c>
      <c r="G243">
        <v>1</v>
      </c>
      <c r="H243" t="s">
        <v>356</v>
      </c>
      <c r="I243">
        <v>0</v>
      </c>
    </row>
    <row r="244" spans="1:13" x14ac:dyDescent="0.25">
      <c r="A244" t="s">
        <v>357</v>
      </c>
      <c r="B244" t="s">
        <v>318</v>
      </c>
      <c r="C244" t="s">
        <v>5</v>
      </c>
      <c r="D244" t="b">
        <v>1</v>
      </c>
      <c r="E244" t="s">
        <v>33</v>
      </c>
      <c r="F244">
        <v>0</v>
      </c>
      <c r="G244">
        <v>1</v>
      </c>
      <c r="H244" t="s">
        <v>358</v>
      </c>
      <c r="I244">
        <v>0</v>
      </c>
    </row>
    <row r="245" spans="1:13" x14ac:dyDescent="0.25">
      <c r="A245" t="s">
        <v>359</v>
      </c>
      <c r="B245" t="s">
        <v>318</v>
      </c>
      <c r="C245" t="s">
        <v>5</v>
      </c>
      <c r="D245" t="b">
        <v>1</v>
      </c>
      <c r="E245" t="s">
        <v>33</v>
      </c>
      <c r="F245">
        <v>0</v>
      </c>
      <c r="G245">
        <v>1</v>
      </c>
      <c r="H245" t="s">
        <v>360</v>
      </c>
      <c r="I245">
        <v>0</v>
      </c>
    </row>
    <row r="246" spans="1:13" x14ac:dyDescent="0.25">
      <c r="A246" t="s">
        <v>361</v>
      </c>
      <c r="B246" t="s">
        <v>318</v>
      </c>
      <c r="C246" t="s">
        <v>5</v>
      </c>
      <c r="D246" t="b">
        <v>1</v>
      </c>
      <c r="E246" t="s">
        <v>152</v>
      </c>
      <c r="F246">
        <v>0</v>
      </c>
      <c r="G246">
        <v>1</v>
      </c>
      <c r="H246" t="s">
        <v>362</v>
      </c>
      <c r="I246">
        <v>0</v>
      </c>
    </row>
    <row r="247" spans="1:13" x14ac:dyDescent="0.25">
      <c r="A247" t="s">
        <v>363</v>
      </c>
      <c r="B247" t="s">
        <v>318</v>
      </c>
      <c r="C247" t="s">
        <v>5</v>
      </c>
      <c r="D247" t="b">
        <v>1</v>
      </c>
      <c r="E247" t="s">
        <v>152</v>
      </c>
      <c r="F247">
        <v>0</v>
      </c>
      <c r="G247">
        <v>1</v>
      </c>
      <c r="H247" t="s">
        <v>364</v>
      </c>
      <c r="I247">
        <v>0</v>
      </c>
    </row>
    <row r="248" spans="1:13" x14ac:dyDescent="0.25">
      <c r="A248" t="s">
        <v>365</v>
      </c>
      <c r="B248" t="s">
        <v>318</v>
      </c>
      <c r="C248" t="s">
        <v>5</v>
      </c>
      <c r="D248" t="b">
        <v>1</v>
      </c>
      <c r="E248" t="s">
        <v>33</v>
      </c>
      <c r="F248">
        <v>0</v>
      </c>
      <c r="G248">
        <v>1</v>
      </c>
      <c r="H248" t="s">
        <v>366</v>
      </c>
      <c r="I248">
        <v>2</v>
      </c>
      <c r="J248" t="s">
        <v>1470</v>
      </c>
      <c r="K248" t="s">
        <v>921</v>
      </c>
    </row>
    <row r="249" spans="1:13" x14ac:dyDescent="0.25">
      <c r="A249" t="s">
        <v>367</v>
      </c>
      <c r="B249" t="s">
        <v>318</v>
      </c>
      <c r="C249" t="s">
        <v>5</v>
      </c>
      <c r="D249" t="b">
        <v>1</v>
      </c>
      <c r="E249" t="s">
        <v>152</v>
      </c>
      <c r="F249">
        <v>0</v>
      </c>
      <c r="G249">
        <v>1</v>
      </c>
      <c r="H249" t="s">
        <v>368</v>
      </c>
      <c r="I249">
        <v>0</v>
      </c>
    </row>
    <row r="250" spans="1:13" x14ac:dyDescent="0.25">
      <c r="A250" t="s">
        <v>369</v>
      </c>
      <c r="B250" t="s">
        <v>318</v>
      </c>
      <c r="C250" t="s">
        <v>5</v>
      </c>
      <c r="D250" t="b">
        <v>1</v>
      </c>
      <c r="E250" t="s">
        <v>33</v>
      </c>
      <c r="F250">
        <v>0</v>
      </c>
      <c r="G250">
        <v>1</v>
      </c>
      <c r="H250" t="s">
        <v>370</v>
      </c>
      <c r="I250">
        <v>2</v>
      </c>
      <c r="J250" t="s">
        <v>1480</v>
      </c>
      <c r="K250" t="s">
        <v>1481</v>
      </c>
    </row>
    <row r="251" spans="1:13" x14ac:dyDescent="0.25">
      <c r="A251" t="s">
        <v>371</v>
      </c>
      <c r="B251" t="s">
        <v>318</v>
      </c>
      <c r="C251" t="s">
        <v>5</v>
      </c>
      <c r="D251" t="b">
        <v>1</v>
      </c>
      <c r="E251" t="s">
        <v>152</v>
      </c>
      <c r="F251">
        <v>0</v>
      </c>
      <c r="G251">
        <v>1</v>
      </c>
      <c r="H251" t="s">
        <v>372</v>
      </c>
      <c r="I251">
        <v>0</v>
      </c>
    </row>
    <row r="252" spans="1:13" x14ac:dyDescent="0.25">
      <c r="A252" t="s">
        <v>373</v>
      </c>
      <c r="B252" t="s">
        <v>318</v>
      </c>
      <c r="C252" t="s">
        <v>5</v>
      </c>
      <c r="D252" t="b">
        <v>1</v>
      </c>
      <c r="E252" t="s">
        <v>142</v>
      </c>
      <c r="F252">
        <v>0</v>
      </c>
      <c r="G252">
        <v>1</v>
      </c>
      <c r="H252" t="s">
        <v>374</v>
      </c>
      <c r="I252">
        <v>4</v>
      </c>
      <c r="J252" t="s">
        <v>1270</v>
      </c>
      <c r="K252" t="s">
        <v>918</v>
      </c>
      <c r="L252" t="s">
        <v>1271</v>
      </c>
      <c r="M252" t="s">
        <v>919</v>
      </c>
    </row>
    <row r="253" spans="1:13" x14ac:dyDescent="0.25">
      <c r="A253" t="s">
        <v>375</v>
      </c>
      <c r="B253" t="s">
        <v>318</v>
      </c>
      <c r="C253" t="s">
        <v>5</v>
      </c>
      <c r="D253" t="b">
        <v>1</v>
      </c>
      <c r="E253" t="s">
        <v>142</v>
      </c>
      <c r="F253">
        <v>0</v>
      </c>
      <c r="G253">
        <v>1</v>
      </c>
      <c r="H253" t="s">
        <v>376</v>
      </c>
      <c r="I253">
        <v>4</v>
      </c>
      <c r="J253" t="s">
        <v>1270</v>
      </c>
      <c r="K253" t="s">
        <v>918</v>
      </c>
      <c r="L253" t="s">
        <v>1271</v>
      </c>
      <c r="M253" t="s">
        <v>919</v>
      </c>
    </row>
    <row r="254" spans="1:13" x14ac:dyDescent="0.25">
      <c r="A254" t="s">
        <v>377</v>
      </c>
      <c r="B254" t="s">
        <v>318</v>
      </c>
      <c r="C254" t="s">
        <v>5</v>
      </c>
      <c r="D254" t="b">
        <v>1</v>
      </c>
      <c r="E254" t="s">
        <v>142</v>
      </c>
      <c r="F254">
        <v>0</v>
      </c>
      <c r="G254">
        <v>1</v>
      </c>
      <c r="H254" t="s">
        <v>378</v>
      </c>
      <c r="I254">
        <v>4</v>
      </c>
      <c r="J254" t="s">
        <v>1270</v>
      </c>
      <c r="K254" t="s">
        <v>918</v>
      </c>
      <c r="L254" t="s">
        <v>1271</v>
      </c>
      <c r="M254" t="s">
        <v>919</v>
      </c>
    </row>
    <row r="255" spans="1:13" x14ac:dyDescent="0.25">
      <c r="A255" t="s">
        <v>379</v>
      </c>
      <c r="B255" t="s">
        <v>318</v>
      </c>
      <c r="C255" t="s">
        <v>5</v>
      </c>
      <c r="D255" t="b">
        <v>1</v>
      </c>
      <c r="E255" t="s">
        <v>142</v>
      </c>
      <c r="F255">
        <v>0</v>
      </c>
      <c r="G255">
        <v>1</v>
      </c>
      <c r="H255" t="s">
        <v>380</v>
      </c>
      <c r="I255">
        <v>4</v>
      </c>
      <c r="J255" t="s">
        <v>1270</v>
      </c>
      <c r="K255" t="s">
        <v>918</v>
      </c>
      <c r="L255" t="s">
        <v>1271</v>
      </c>
      <c r="M255" t="s">
        <v>919</v>
      </c>
    </row>
    <row r="256" spans="1:13" x14ac:dyDescent="0.25">
      <c r="A256" t="s">
        <v>381</v>
      </c>
      <c r="B256" t="s">
        <v>318</v>
      </c>
      <c r="C256" t="s">
        <v>5</v>
      </c>
      <c r="D256" t="b">
        <v>1</v>
      </c>
      <c r="E256" t="s">
        <v>142</v>
      </c>
      <c r="F256">
        <v>0</v>
      </c>
      <c r="G256">
        <v>1</v>
      </c>
      <c r="H256" t="s">
        <v>382</v>
      </c>
      <c r="I256">
        <v>4</v>
      </c>
      <c r="J256" t="s">
        <v>1270</v>
      </c>
      <c r="K256" t="s">
        <v>918</v>
      </c>
      <c r="L256" t="s">
        <v>1271</v>
      </c>
      <c r="M256" t="s">
        <v>919</v>
      </c>
    </row>
    <row r="257" spans="1:14" x14ac:dyDescent="0.25">
      <c r="A257" t="s">
        <v>383</v>
      </c>
      <c r="B257" t="s">
        <v>318</v>
      </c>
      <c r="C257" t="s">
        <v>5</v>
      </c>
      <c r="D257" t="b">
        <v>1</v>
      </c>
      <c r="E257" t="s">
        <v>33</v>
      </c>
      <c r="F257">
        <v>0</v>
      </c>
      <c r="G257">
        <v>1</v>
      </c>
      <c r="H257" t="s">
        <v>29</v>
      </c>
      <c r="I257">
        <v>0</v>
      </c>
    </row>
    <row r="258" spans="1:14" x14ac:dyDescent="0.25">
      <c r="A258" t="s">
        <v>384</v>
      </c>
      <c r="B258" t="s">
        <v>318</v>
      </c>
      <c r="C258" t="s">
        <v>5</v>
      </c>
      <c r="D258" t="b">
        <v>1</v>
      </c>
      <c r="E258" t="s">
        <v>33</v>
      </c>
      <c r="F258">
        <v>0</v>
      </c>
      <c r="G258">
        <v>1</v>
      </c>
      <c r="H258" t="s">
        <v>29</v>
      </c>
      <c r="I258">
        <v>0</v>
      </c>
    </row>
    <row r="259" spans="1:14" x14ac:dyDescent="0.25">
      <c r="A259" t="s">
        <v>385</v>
      </c>
      <c r="B259" t="s">
        <v>318</v>
      </c>
      <c r="C259" t="s">
        <v>5</v>
      </c>
      <c r="D259" t="b">
        <v>0</v>
      </c>
      <c r="F259">
        <v>0</v>
      </c>
      <c r="G259">
        <v>1</v>
      </c>
      <c r="H259" t="s">
        <v>386</v>
      </c>
      <c r="I259">
        <v>0</v>
      </c>
    </row>
    <row r="260" spans="1:14" x14ac:dyDescent="0.25">
      <c r="A260" t="s">
        <v>387</v>
      </c>
      <c r="B260" t="s">
        <v>385</v>
      </c>
      <c r="C260" t="s">
        <v>318</v>
      </c>
      <c r="D260" t="b">
        <v>0</v>
      </c>
      <c r="F260">
        <v>1</v>
      </c>
      <c r="G260">
        <v>2</v>
      </c>
      <c r="H260" t="s">
        <v>388</v>
      </c>
      <c r="I260">
        <v>0</v>
      </c>
    </row>
    <row r="261" spans="1:14" x14ac:dyDescent="0.25">
      <c r="A261" t="s">
        <v>389</v>
      </c>
      <c r="B261" t="s">
        <v>387</v>
      </c>
      <c r="C261" t="s">
        <v>385</v>
      </c>
      <c r="D261" t="b">
        <v>1</v>
      </c>
      <c r="E261" t="s">
        <v>33</v>
      </c>
      <c r="F261">
        <v>0</v>
      </c>
      <c r="G261">
        <v>1</v>
      </c>
      <c r="H261" t="s">
        <v>390</v>
      </c>
      <c r="I261">
        <v>0</v>
      </c>
    </row>
    <row r="262" spans="1:14" x14ac:dyDescent="0.25">
      <c r="A262" t="s">
        <v>391</v>
      </c>
      <c r="B262" t="s">
        <v>387</v>
      </c>
      <c r="C262" t="s">
        <v>385</v>
      </c>
      <c r="D262" t="b">
        <v>1</v>
      </c>
      <c r="E262" t="s">
        <v>152</v>
      </c>
      <c r="F262">
        <v>0</v>
      </c>
      <c r="G262">
        <v>1</v>
      </c>
      <c r="H262" t="s">
        <v>392</v>
      </c>
      <c r="I262">
        <v>0</v>
      </c>
    </row>
    <row r="263" spans="1:14" x14ac:dyDescent="0.25">
      <c r="A263" t="s">
        <v>393</v>
      </c>
      <c r="B263" t="s">
        <v>387</v>
      </c>
      <c r="C263" t="s">
        <v>385</v>
      </c>
      <c r="D263" t="b">
        <v>1</v>
      </c>
      <c r="E263" t="s">
        <v>152</v>
      </c>
      <c r="F263">
        <v>0</v>
      </c>
      <c r="G263">
        <v>1</v>
      </c>
      <c r="H263" t="s">
        <v>394</v>
      </c>
      <c r="I263">
        <v>0</v>
      </c>
    </row>
    <row r="264" spans="1:14" x14ac:dyDescent="0.25">
      <c r="A264" t="s">
        <v>395</v>
      </c>
      <c r="B264" t="s">
        <v>387</v>
      </c>
      <c r="C264" t="s">
        <v>385</v>
      </c>
      <c r="D264" t="b">
        <v>1</v>
      </c>
      <c r="E264" t="s">
        <v>33</v>
      </c>
      <c r="F264">
        <v>1</v>
      </c>
      <c r="G264">
        <v>1</v>
      </c>
      <c r="H264" t="s">
        <v>396</v>
      </c>
      <c r="I264">
        <v>3</v>
      </c>
      <c r="J264" t="s">
        <v>1482</v>
      </c>
      <c r="K264" t="s">
        <v>1483</v>
      </c>
      <c r="L264" t="s">
        <v>1484</v>
      </c>
    </row>
    <row r="265" spans="1:14" x14ac:dyDescent="0.25">
      <c r="A265" t="s">
        <v>397</v>
      </c>
      <c r="B265" t="s">
        <v>387</v>
      </c>
      <c r="C265" t="s">
        <v>385</v>
      </c>
      <c r="D265" t="b">
        <v>1</v>
      </c>
      <c r="E265" t="s">
        <v>142</v>
      </c>
      <c r="F265">
        <v>0</v>
      </c>
      <c r="G265">
        <v>1</v>
      </c>
      <c r="H265" t="s">
        <v>398</v>
      </c>
      <c r="I265">
        <v>4</v>
      </c>
      <c r="J265" t="s">
        <v>1270</v>
      </c>
      <c r="K265" t="s">
        <v>918</v>
      </c>
      <c r="L265" t="s">
        <v>1271</v>
      </c>
      <c r="M265" t="s">
        <v>919</v>
      </c>
    </row>
    <row r="266" spans="1:14" x14ac:dyDescent="0.25">
      <c r="A266" t="s">
        <v>399</v>
      </c>
      <c r="B266" t="s">
        <v>387</v>
      </c>
      <c r="C266" t="s">
        <v>385</v>
      </c>
      <c r="D266" t="b">
        <v>1</v>
      </c>
      <c r="E266" t="s">
        <v>142</v>
      </c>
      <c r="F266">
        <v>0</v>
      </c>
      <c r="G266">
        <v>1</v>
      </c>
      <c r="H266" t="s">
        <v>400</v>
      </c>
      <c r="I266">
        <v>4</v>
      </c>
      <c r="J266" t="s">
        <v>1270</v>
      </c>
      <c r="K266" t="s">
        <v>918</v>
      </c>
      <c r="L266" t="s">
        <v>1271</v>
      </c>
      <c r="M266" t="s">
        <v>919</v>
      </c>
    </row>
    <row r="267" spans="1:14" x14ac:dyDescent="0.25">
      <c r="A267" t="s">
        <v>401</v>
      </c>
      <c r="B267" t="s">
        <v>387</v>
      </c>
      <c r="C267" t="s">
        <v>385</v>
      </c>
      <c r="D267" t="b">
        <v>1</v>
      </c>
      <c r="E267" t="s">
        <v>42</v>
      </c>
      <c r="F267">
        <v>0</v>
      </c>
      <c r="G267">
        <v>1</v>
      </c>
      <c r="H267" t="s">
        <v>402</v>
      </c>
      <c r="I267">
        <v>0</v>
      </c>
    </row>
    <row r="268" spans="1:14" x14ac:dyDescent="0.25">
      <c r="A268" t="s">
        <v>403</v>
      </c>
      <c r="B268" t="s">
        <v>387</v>
      </c>
      <c r="C268" t="s">
        <v>385</v>
      </c>
      <c r="D268" t="b">
        <v>1</v>
      </c>
      <c r="E268" t="s">
        <v>33</v>
      </c>
      <c r="F268">
        <v>0</v>
      </c>
      <c r="G268">
        <v>1</v>
      </c>
      <c r="H268" t="s">
        <v>404</v>
      </c>
      <c r="I268">
        <v>5</v>
      </c>
      <c r="J268" t="s">
        <v>1485</v>
      </c>
      <c r="K268" t="s">
        <v>1486</v>
      </c>
      <c r="L268" t="s">
        <v>1487</v>
      </c>
      <c r="M268" t="s">
        <v>1488</v>
      </c>
      <c r="N268" t="s">
        <v>1489</v>
      </c>
    </row>
    <row r="269" spans="1:14" x14ac:dyDescent="0.25">
      <c r="A269" t="s">
        <v>405</v>
      </c>
      <c r="B269" t="s">
        <v>387</v>
      </c>
      <c r="C269" t="s">
        <v>385</v>
      </c>
      <c r="D269" t="b">
        <v>0</v>
      </c>
      <c r="F269">
        <v>0</v>
      </c>
      <c r="G269">
        <v>1</v>
      </c>
      <c r="H269" t="s">
        <v>406</v>
      </c>
      <c r="I269">
        <v>0</v>
      </c>
    </row>
    <row r="270" spans="1:14" x14ac:dyDescent="0.25">
      <c r="A270" t="s">
        <v>407</v>
      </c>
      <c r="B270" t="s">
        <v>405</v>
      </c>
      <c r="C270" t="s">
        <v>387</v>
      </c>
      <c r="D270" t="b">
        <v>0</v>
      </c>
      <c r="F270">
        <v>1</v>
      </c>
      <c r="G270">
        <v>5</v>
      </c>
      <c r="H270" t="s">
        <v>29</v>
      </c>
      <c r="I270">
        <v>0</v>
      </c>
    </row>
    <row r="271" spans="1:14" x14ac:dyDescent="0.25">
      <c r="A271" t="s">
        <v>408</v>
      </c>
      <c r="B271" t="s">
        <v>407</v>
      </c>
      <c r="C271" t="s">
        <v>405</v>
      </c>
      <c r="D271" t="b">
        <v>1</v>
      </c>
      <c r="E271" t="s">
        <v>33</v>
      </c>
      <c r="F271">
        <v>1</v>
      </c>
      <c r="G271">
        <v>1</v>
      </c>
      <c r="H271" t="s">
        <v>29</v>
      </c>
      <c r="I271">
        <v>5</v>
      </c>
      <c r="J271" t="s">
        <v>1490</v>
      </c>
      <c r="K271" t="s">
        <v>1491</v>
      </c>
      <c r="L271" t="s">
        <v>1492</v>
      </c>
      <c r="M271" t="s">
        <v>1493</v>
      </c>
      <c r="N271" t="s">
        <v>1494</v>
      </c>
    </row>
    <row r="272" spans="1:14" x14ac:dyDescent="0.25">
      <c r="A272" t="s">
        <v>409</v>
      </c>
      <c r="B272" t="s">
        <v>407</v>
      </c>
      <c r="C272" t="s">
        <v>405</v>
      </c>
      <c r="D272" t="b">
        <v>1</v>
      </c>
      <c r="E272" t="s">
        <v>152</v>
      </c>
      <c r="F272">
        <v>1</v>
      </c>
      <c r="G272">
        <v>1</v>
      </c>
      <c r="H272" t="s">
        <v>410</v>
      </c>
      <c r="I272">
        <v>0</v>
      </c>
    </row>
    <row r="273" spans="1:52" x14ac:dyDescent="0.25">
      <c r="A273" t="s">
        <v>411</v>
      </c>
      <c r="B273" t="s">
        <v>407</v>
      </c>
      <c r="C273" t="s">
        <v>405</v>
      </c>
      <c r="D273" t="b">
        <v>1</v>
      </c>
      <c r="E273" t="s">
        <v>33</v>
      </c>
      <c r="F273">
        <v>1</v>
      </c>
      <c r="G273">
        <v>1</v>
      </c>
      <c r="H273" t="s">
        <v>29</v>
      </c>
      <c r="I273">
        <v>43</v>
      </c>
      <c r="J273" t="s">
        <v>916</v>
      </c>
      <c r="K273" t="s">
        <v>1417</v>
      </c>
      <c r="L273" t="s">
        <v>1418</v>
      </c>
      <c r="M273" t="s">
        <v>1419</v>
      </c>
      <c r="N273" t="s">
        <v>1420</v>
      </c>
      <c r="O273" t="s">
        <v>1421</v>
      </c>
      <c r="P273" t="s">
        <v>1422</v>
      </c>
      <c r="Q273" t="s">
        <v>1423</v>
      </c>
      <c r="R273" t="s">
        <v>1424</v>
      </c>
      <c r="S273" t="s">
        <v>1425</v>
      </c>
      <c r="T273" t="s">
        <v>1426</v>
      </c>
      <c r="U273" t="s">
        <v>1427</v>
      </c>
      <c r="V273" t="s">
        <v>1428</v>
      </c>
      <c r="W273" t="s">
        <v>1429</v>
      </c>
      <c r="X273" t="s">
        <v>1430</v>
      </c>
      <c r="Y273" t="s">
        <v>1431</v>
      </c>
      <c r="Z273" t="s">
        <v>1432</v>
      </c>
      <c r="AA273" t="s">
        <v>1433</v>
      </c>
      <c r="AB273" t="s">
        <v>1434</v>
      </c>
      <c r="AC273" t="s">
        <v>1435</v>
      </c>
      <c r="AD273" t="s">
        <v>1436</v>
      </c>
      <c r="AE273" t="s">
        <v>1437</v>
      </c>
      <c r="AF273" t="s">
        <v>1438</v>
      </c>
      <c r="AG273" t="s">
        <v>1439</v>
      </c>
      <c r="AH273" t="s">
        <v>1440</v>
      </c>
      <c r="AI273" t="s">
        <v>1441</v>
      </c>
      <c r="AJ273" t="s">
        <v>1442</v>
      </c>
      <c r="AK273" t="s">
        <v>1443</v>
      </c>
      <c r="AL273" t="s">
        <v>1444</v>
      </c>
      <c r="AM273" t="s">
        <v>1445</v>
      </c>
      <c r="AN273" t="s">
        <v>1446</v>
      </c>
      <c r="AO273" t="s">
        <v>1447</v>
      </c>
      <c r="AP273" t="s">
        <v>1448</v>
      </c>
      <c r="AQ273" t="s">
        <v>1449</v>
      </c>
      <c r="AR273" t="s">
        <v>1450</v>
      </c>
      <c r="AS273" t="s">
        <v>1451</v>
      </c>
      <c r="AT273" t="s">
        <v>1452</v>
      </c>
      <c r="AU273" t="s">
        <v>1453</v>
      </c>
      <c r="AV273" t="s">
        <v>1454</v>
      </c>
      <c r="AW273" t="s">
        <v>1455</v>
      </c>
      <c r="AX273" t="s">
        <v>1456</v>
      </c>
      <c r="AY273" t="s">
        <v>1457</v>
      </c>
      <c r="AZ273" t="s">
        <v>1458</v>
      </c>
    </row>
    <row r="274" spans="1:52" x14ac:dyDescent="0.25">
      <c r="A274" t="s">
        <v>412</v>
      </c>
      <c r="B274" t="s">
        <v>407</v>
      </c>
      <c r="C274" t="s">
        <v>405</v>
      </c>
      <c r="D274" t="b">
        <v>1</v>
      </c>
      <c r="E274" t="s">
        <v>42</v>
      </c>
      <c r="F274">
        <v>0</v>
      </c>
      <c r="G274">
        <v>1</v>
      </c>
      <c r="H274" t="s">
        <v>29</v>
      </c>
      <c r="I274">
        <v>0</v>
      </c>
    </row>
    <row r="275" spans="1:52" x14ac:dyDescent="0.25">
      <c r="A275" t="s">
        <v>413</v>
      </c>
      <c r="B275" t="s">
        <v>407</v>
      </c>
      <c r="C275" t="s">
        <v>405</v>
      </c>
      <c r="D275" t="b">
        <v>1</v>
      </c>
      <c r="E275" t="s">
        <v>152</v>
      </c>
      <c r="F275">
        <v>1</v>
      </c>
      <c r="G275">
        <v>1</v>
      </c>
      <c r="H275" t="s">
        <v>414</v>
      </c>
      <c r="I275">
        <v>0</v>
      </c>
    </row>
    <row r="276" spans="1:52" x14ac:dyDescent="0.25">
      <c r="A276" t="s">
        <v>415</v>
      </c>
      <c r="B276" t="s">
        <v>407</v>
      </c>
      <c r="C276" t="s">
        <v>405</v>
      </c>
      <c r="D276" t="b">
        <v>1</v>
      </c>
      <c r="E276" t="s">
        <v>152</v>
      </c>
      <c r="F276">
        <v>0</v>
      </c>
      <c r="G276">
        <v>1</v>
      </c>
      <c r="H276" t="s">
        <v>416</v>
      </c>
      <c r="I276">
        <v>0</v>
      </c>
    </row>
    <row r="277" spans="1:52" x14ac:dyDescent="0.25">
      <c r="A277" t="s">
        <v>126</v>
      </c>
      <c r="B277" t="s">
        <v>407</v>
      </c>
      <c r="C277" t="s">
        <v>405</v>
      </c>
      <c r="D277" t="b">
        <v>1</v>
      </c>
      <c r="E277" t="s">
        <v>33</v>
      </c>
      <c r="F277">
        <v>0</v>
      </c>
      <c r="G277">
        <v>1</v>
      </c>
      <c r="H277" t="s">
        <v>29</v>
      </c>
      <c r="I277">
        <v>0</v>
      </c>
    </row>
    <row r="278" spans="1:52" x14ac:dyDescent="0.25">
      <c r="A278" t="s">
        <v>417</v>
      </c>
      <c r="B278" t="s">
        <v>407</v>
      </c>
      <c r="C278" t="s">
        <v>405</v>
      </c>
      <c r="D278" t="b">
        <v>1</v>
      </c>
      <c r="E278" t="s">
        <v>33</v>
      </c>
      <c r="F278">
        <v>0</v>
      </c>
      <c r="G278">
        <v>1</v>
      </c>
      <c r="H278" t="s">
        <v>418</v>
      </c>
      <c r="I278">
        <v>9</v>
      </c>
      <c r="J278" t="s">
        <v>1495</v>
      </c>
      <c r="K278" t="s">
        <v>1496</v>
      </c>
      <c r="L278" t="s">
        <v>1497</v>
      </c>
      <c r="M278" t="s">
        <v>1498</v>
      </c>
      <c r="N278" t="s">
        <v>1499</v>
      </c>
      <c r="O278" t="s">
        <v>1500</v>
      </c>
      <c r="P278" t="s">
        <v>1501</v>
      </c>
      <c r="Q278" t="s">
        <v>1502</v>
      </c>
      <c r="R278" t="s">
        <v>1503</v>
      </c>
    </row>
    <row r="279" spans="1:52" x14ac:dyDescent="0.25">
      <c r="A279" t="s">
        <v>419</v>
      </c>
      <c r="B279" t="s">
        <v>387</v>
      </c>
      <c r="C279" t="s">
        <v>385</v>
      </c>
      <c r="D279" t="b">
        <v>1</v>
      </c>
      <c r="E279" t="s">
        <v>152</v>
      </c>
      <c r="F279">
        <v>0</v>
      </c>
      <c r="G279">
        <v>1</v>
      </c>
      <c r="H279" t="s">
        <v>420</v>
      </c>
      <c r="I279">
        <v>0</v>
      </c>
    </row>
    <row r="280" spans="1:52" x14ac:dyDescent="0.25">
      <c r="A280" t="s">
        <v>421</v>
      </c>
      <c r="B280" t="s">
        <v>387</v>
      </c>
      <c r="C280" t="s">
        <v>385</v>
      </c>
      <c r="D280" t="b">
        <v>1</v>
      </c>
      <c r="E280" t="s">
        <v>142</v>
      </c>
      <c r="F280">
        <v>0</v>
      </c>
      <c r="G280">
        <v>1</v>
      </c>
      <c r="H280" t="s">
        <v>422</v>
      </c>
      <c r="I280">
        <v>4</v>
      </c>
      <c r="J280" t="s">
        <v>1270</v>
      </c>
      <c r="K280" t="s">
        <v>918</v>
      </c>
      <c r="L280" t="s">
        <v>1271</v>
      </c>
      <c r="M280" t="s">
        <v>919</v>
      </c>
    </row>
    <row r="281" spans="1:52" x14ac:dyDescent="0.25">
      <c r="A281" t="s">
        <v>423</v>
      </c>
      <c r="B281" t="s">
        <v>387</v>
      </c>
      <c r="C281" t="s">
        <v>385</v>
      </c>
      <c r="D281" t="b">
        <v>1</v>
      </c>
      <c r="E281" t="s">
        <v>42</v>
      </c>
      <c r="F281">
        <v>0</v>
      </c>
      <c r="G281">
        <v>1</v>
      </c>
      <c r="H281" t="s">
        <v>424</v>
      </c>
      <c r="I281">
        <v>0</v>
      </c>
    </row>
    <row r="282" spans="1:52" x14ac:dyDescent="0.25">
      <c r="A282" t="s">
        <v>425</v>
      </c>
      <c r="B282" t="s">
        <v>387</v>
      </c>
      <c r="C282" t="s">
        <v>385</v>
      </c>
      <c r="D282" t="b">
        <v>1</v>
      </c>
      <c r="E282" t="s">
        <v>33</v>
      </c>
      <c r="F282">
        <v>0</v>
      </c>
      <c r="G282">
        <v>1</v>
      </c>
      <c r="H282" t="s">
        <v>426</v>
      </c>
      <c r="I282">
        <v>0</v>
      </c>
    </row>
    <row r="283" spans="1:52" x14ac:dyDescent="0.25">
      <c r="A283" t="s">
        <v>427</v>
      </c>
      <c r="B283" t="s">
        <v>387</v>
      </c>
      <c r="C283" t="s">
        <v>385</v>
      </c>
      <c r="D283" t="b">
        <v>1</v>
      </c>
      <c r="E283" t="s">
        <v>142</v>
      </c>
      <c r="F283">
        <v>0</v>
      </c>
      <c r="G283">
        <v>1</v>
      </c>
      <c r="H283" t="s">
        <v>428</v>
      </c>
      <c r="I283">
        <v>4</v>
      </c>
      <c r="J283" t="s">
        <v>1270</v>
      </c>
      <c r="K283" t="s">
        <v>918</v>
      </c>
      <c r="L283" t="s">
        <v>1271</v>
      </c>
      <c r="M283" t="s">
        <v>919</v>
      </c>
    </row>
    <row r="284" spans="1:52" x14ac:dyDescent="0.25">
      <c r="A284" t="s">
        <v>429</v>
      </c>
      <c r="B284" t="s">
        <v>387</v>
      </c>
      <c r="C284" t="s">
        <v>385</v>
      </c>
      <c r="D284" t="b">
        <v>1</v>
      </c>
      <c r="E284" t="s">
        <v>142</v>
      </c>
      <c r="F284">
        <v>0</v>
      </c>
      <c r="G284">
        <v>1</v>
      </c>
      <c r="H284" t="s">
        <v>430</v>
      </c>
      <c r="I284">
        <v>4</v>
      </c>
      <c r="J284" t="s">
        <v>1270</v>
      </c>
      <c r="K284" t="s">
        <v>918</v>
      </c>
      <c r="L284" t="s">
        <v>1271</v>
      </c>
      <c r="M284" t="s">
        <v>919</v>
      </c>
    </row>
    <row r="285" spans="1:52" x14ac:dyDescent="0.25">
      <c r="A285" t="s">
        <v>431</v>
      </c>
      <c r="B285" t="s">
        <v>318</v>
      </c>
      <c r="C285" t="s">
        <v>5</v>
      </c>
      <c r="D285" t="b">
        <v>0</v>
      </c>
      <c r="F285">
        <v>1</v>
      </c>
      <c r="G285">
        <v>1</v>
      </c>
      <c r="H285" t="s">
        <v>29</v>
      </c>
      <c r="I285">
        <v>0</v>
      </c>
    </row>
    <row r="286" spans="1:52" x14ac:dyDescent="0.25">
      <c r="A286" t="s">
        <v>135</v>
      </c>
      <c r="B286" t="s">
        <v>431</v>
      </c>
      <c r="C286" t="s">
        <v>318</v>
      </c>
      <c r="D286" t="b">
        <v>0</v>
      </c>
      <c r="F286">
        <v>1</v>
      </c>
      <c r="G286">
        <v>2</v>
      </c>
      <c r="H286" t="s">
        <v>29</v>
      </c>
      <c r="I286">
        <v>0</v>
      </c>
    </row>
    <row r="287" spans="1:52" x14ac:dyDescent="0.25">
      <c r="A287" t="s">
        <v>432</v>
      </c>
      <c r="B287" t="s">
        <v>135</v>
      </c>
      <c r="C287" t="s">
        <v>431</v>
      </c>
      <c r="D287" t="b">
        <v>1</v>
      </c>
      <c r="E287" t="s">
        <v>42</v>
      </c>
      <c r="F287">
        <v>1</v>
      </c>
      <c r="G287">
        <v>1</v>
      </c>
      <c r="H287" t="s">
        <v>433</v>
      </c>
      <c r="I287">
        <v>0</v>
      </c>
    </row>
    <row r="288" spans="1:52" x14ac:dyDescent="0.25">
      <c r="A288" t="s">
        <v>434</v>
      </c>
      <c r="B288" t="s">
        <v>135</v>
      </c>
      <c r="C288" t="s">
        <v>431</v>
      </c>
      <c r="D288" t="b">
        <v>1</v>
      </c>
      <c r="E288" t="s">
        <v>33</v>
      </c>
      <c r="F288">
        <v>1</v>
      </c>
      <c r="G288">
        <v>1</v>
      </c>
      <c r="H288" t="s">
        <v>435</v>
      </c>
      <c r="I288">
        <v>11</v>
      </c>
      <c r="J288" t="s">
        <v>915</v>
      </c>
      <c r="K288" t="s">
        <v>917</v>
      </c>
      <c r="L288" t="s">
        <v>1504</v>
      </c>
      <c r="M288" t="s">
        <v>1505</v>
      </c>
      <c r="N288" t="s">
        <v>1506</v>
      </c>
      <c r="O288" t="s">
        <v>1507</v>
      </c>
      <c r="P288" t="s">
        <v>1508</v>
      </c>
      <c r="Q288" t="s">
        <v>1509</v>
      </c>
      <c r="R288" t="s">
        <v>1510</v>
      </c>
      <c r="S288" t="s">
        <v>1469</v>
      </c>
      <c r="T288" t="s">
        <v>1511</v>
      </c>
    </row>
    <row r="289" spans="1:52" x14ac:dyDescent="0.25">
      <c r="A289" t="s">
        <v>436</v>
      </c>
      <c r="B289" t="s">
        <v>135</v>
      </c>
      <c r="C289" t="s">
        <v>431</v>
      </c>
      <c r="D289" t="b">
        <v>1</v>
      </c>
      <c r="E289" t="s">
        <v>33</v>
      </c>
      <c r="F289">
        <v>1</v>
      </c>
      <c r="G289">
        <v>1</v>
      </c>
      <c r="H289" t="s">
        <v>437</v>
      </c>
      <c r="I289">
        <v>3</v>
      </c>
      <c r="J289" t="s">
        <v>1512</v>
      </c>
      <c r="K289" t="s">
        <v>1470</v>
      </c>
      <c r="L289" t="s">
        <v>921</v>
      </c>
    </row>
    <row r="290" spans="1:52" x14ac:dyDescent="0.25">
      <c r="A290" t="s">
        <v>438</v>
      </c>
      <c r="B290" t="s">
        <v>135</v>
      </c>
      <c r="C290" t="s">
        <v>431</v>
      </c>
      <c r="D290" t="b">
        <v>1</v>
      </c>
      <c r="E290" t="s">
        <v>42</v>
      </c>
      <c r="F290">
        <v>0</v>
      </c>
      <c r="G290">
        <v>1</v>
      </c>
      <c r="H290" t="s">
        <v>439</v>
      </c>
      <c r="I290">
        <v>0</v>
      </c>
    </row>
    <row r="291" spans="1:52" x14ac:dyDescent="0.25">
      <c r="A291" t="s">
        <v>440</v>
      </c>
      <c r="B291" t="s">
        <v>135</v>
      </c>
      <c r="C291" t="s">
        <v>431</v>
      </c>
      <c r="D291" t="b">
        <v>1</v>
      </c>
      <c r="E291" t="s">
        <v>33</v>
      </c>
      <c r="F291">
        <v>0</v>
      </c>
      <c r="G291">
        <v>1</v>
      </c>
      <c r="H291" t="s">
        <v>29</v>
      </c>
      <c r="I291">
        <v>0</v>
      </c>
    </row>
    <row r="292" spans="1:52" x14ac:dyDescent="0.25">
      <c r="A292" t="s">
        <v>441</v>
      </c>
      <c r="B292" t="s">
        <v>135</v>
      </c>
      <c r="C292" t="s">
        <v>431</v>
      </c>
      <c r="D292" t="b">
        <v>1</v>
      </c>
      <c r="E292" t="s">
        <v>33</v>
      </c>
      <c r="F292">
        <v>0</v>
      </c>
      <c r="G292">
        <v>1</v>
      </c>
      <c r="H292" t="s">
        <v>29</v>
      </c>
      <c r="I292">
        <v>0</v>
      </c>
    </row>
    <row r="293" spans="1:52" x14ac:dyDescent="0.25">
      <c r="A293" t="s">
        <v>442</v>
      </c>
      <c r="B293" t="s">
        <v>135</v>
      </c>
      <c r="C293" t="s">
        <v>431</v>
      </c>
      <c r="D293" t="b">
        <v>1</v>
      </c>
      <c r="E293" t="s">
        <v>33</v>
      </c>
      <c r="F293">
        <v>0</v>
      </c>
      <c r="G293">
        <v>1</v>
      </c>
      <c r="H293" t="s">
        <v>29</v>
      </c>
      <c r="I293">
        <v>0</v>
      </c>
    </row>
    <row r="294" spans="1:52" x14ac:dyDescent="0.25">
      <c r="A294" t="s">
        <v>443</v>
      </c>
      <c r="B294" t="s">
        <v>135</v>
      </c>
      <c r="C294" t="s">
        <v>431</v>
      </c>
      <c r="D294" t="b">
        <v>1</v>
      </c>
      <c r="E294" t="s">
        <v>33</v>
      </c>
      <c r="F294">
        <v>0</v>
      </c>
      <c r="G294">
        <v>1</v>
      </c>
      <c r="H294" t="s">
        <v>444</v>
      </c>
      <c r="I294">
        <v>0</v>
      </c>
    </row>
    <row r="295" spans="1:52" x14ac:dyDescent="0.25">
      <c r="A295" t="s">
        <v>445</v>
      </c>
      <c r="B295" t="s">
        <v>135</v>
      </c>
      <c r="C295" t="s">
        <v>431</v>
      </c>
      <c r="D295" t="b">
        <v>1</v>
      </c>
      <c r="E295" t="s">
        <v>142</v>
      </c>
      <c r="F295">
        <v>0</v>
      </c>
      <c r="G295">
        <v>1</v>
      </c>
      <c r="H295" t="s">
        <v>446</v>
      </c>
      <c r="I295">
        <v>4</v>
      </c>
      <c r="J295" t="s">
        <v>1270</v>
      </c>
      <c r="K295" t="s">
        <v>918</v>
      </c>
      <c r="L295" t="s">
        <v>1271</v>
      </c>
      <c r="M295" t="s">
        <v>919</v>
      </c>
    </row>
    <row r="296" spans="1:52" x14ac:dyDescent="0.25">
      <c r="A296" t="s">
        <v>447</v>
      </c>
      <c r="B296" t="s">
        <v>135</v>
      </c>
      <c r="C296" t="s">
        <v>431</v>
      </c>
      <c r="D296" t="b">
        <v>1</v>
      </c>
      <c r="E296" t="s">
        <v>42</v>
      </c>
      <c r="F296">
        <v>0</v>
      </c>
      <c r="G296">
        <v>1</v>
      </c>
      <c r="H296" t="s">
        <v>448</v>
      </c>
      <c r="I296">
        <v>0</v>
      </c>
    </row>
    <row r="297" spans="1:52" x14ac:dyDescent="0.25">
      <c r="A297" t="s">
        <v>449</v>
      </c>
      <c r="B297" t="s">
        <v>135</v>
      </c>
      <c r="C297" t="s">
        <v>431</v>
      </c>
      <c r="D297" t="b">
        <v>1</v>
      </c>
      <c r="E297" t="s">
        <v>42</v>
      </c>
      <c r="F297">
        <v>0</v>
      </c>
      <c r="G297">
        <v>1</v>
      </c>
      <c r="H297" t="s">
        <v>450</v>
      </c>
      <c r="I297">
        <v>0</v>
      </c>
    </row>
    <row r="298" spans="1:52" x14ac:dyDescent="0.25">
      <c r="A298" t="s">
        <v>451</v>
      </c>
      <c r="B298" t="s">
        <v>135</v>
      </c>
      <c r="C298" t="s">
        <v>431</v>
      </c>
      <c r="D298" t="b">
        <v>1</v>
      </c>
      <c r="E298" t="s">
        <v>33</v>
      </c>
      <c r="F298">
        <v>0</v>
      </c>
      <c r="G298">
        <v>1</v>
      </c>
      <c r="H298" t="s">
        <v>452</v>
      </c>
      <c r="I298">
        <v>4</v>
      </c>
      <c r="J298" t="s">
        <v>1513</v>
      </c>
      <c r="K298" t="s">
        <v>1514</v>
      </c>
      <c r="L298" t="s">
        <v>1515</v>
      </c>
      <c r="M298" t="s">
        <v>1516</v>
      </c>
    </row>
    <row r="299" spans="1:52" x14ac:dyDescent="0.25">
      <c r="A299" t="s">
        <v>453</v>
      </c>
      <c r="B299" t="s">
        <v>135</v>
      </c>
      <c r="C299" t="s">
        <v>431</v>
      </c>
      <c r="D299" t="b">
        <v>1</v>
      </c>
      <c r="E299" t="s">
        <v>33</v>
      </c>
      <c r="F299">
        <v>0</v>
      </c>
      <c r="G299">
        <v>1</v>
      </c>
      <c r="H299" t="s">
        <v>454</v>
      </c>
      <c r="I299">
        <v>10</v>
      </c>
      <c r="J299" t="s">
        <v>1517</v>
      </c>
      <c r="K299" t="s">
        <v>1518</v>
      </c>
      <c r="L299" t="s">
        <v>1519</v>
      </c>
      <c r="M299" t="s">
        <v>1520</v>
      </c>
      <c r="N299" t="s">
        <v>1521</v>
      </c>
      <c r="O299" t="s">
        <v>1522</v>
      </c>
      <c r="P299" t="s">
        <v>1523</v>
      </c>
      <c r="Q299" t="s">
        <v>1524</v>
      </c>
      <c r="R299" t="s">
        <v>1525</v>
      </c>
      <c r="S299" t="s">
        <v>1526</v>
      </c>
    </row>
    <row r="300" spans="1:52" x14ac:dyDescent="0.25">
      <c r="A300" t="s">
        <v>455</v>
      </c>
      <c r="B300" t="s">
        <v>135</v>
      </c>
      <c r="C300" t="s">
        <v>431</v>
      </c>
      <c r="D300" t="b">
        <v>1</v>
      </c>
      <c r="E300" t="s">
        <v>152</v>
      </c>
      <c r="F300">
        <v>0</v>
      </c>
      <c r="G300">
        <v>1</v>
      </c>
      <c r="H300" t="s">
        <v>456</v>
      </c>
      <c r="I300">
        <v>0</v>
      </c>
    </row>
    <row r="301" spans="1:52" x14ac:dyDescent="0.25">
      <c r="A301" t="s">
        <v>457</v>
      </c>
      <c r="B301" t="s">
        <v>135</v>
      </c>
      <c r="C301" t="s">
        <v>431</v>
      </c>
      <c r="D301" t="b">
        <v>1</v>
      </c>
      <c r="E301" t="s">
        <v>152</v>
      </c>
      <c r="F301">
        <v>0</v>
      </c>
      <c r="G301">
        <v>1</v>
      </c>
      <c r="H301" t="s">
        <v>458</v>
      </c>
      <c r="I301">
        <v>0</v>
      </c>
    </row>
    <row r="302" spans="1:52" x14ac:dyDescent="0.25">
      <c r="A302" t="s">
        <v>459</v>
      </c>
      <c r="B302" t="s">
        <v>135</v>
      </c>
      <c r="C302" t="s">
        <v>431</v>
      </c>
      <c r="D302" t="b">
        <v>1</v>
      </c>
      <c r="E302" t="s">
        <v>33</v>
      </c>
      <c r="F302">
        <v>0</v>
      </c>
      <c r="G302">
        <v>1</v>
      </c>
      <c r="H302" t="s">
        <v>460</v>
      </c>
      <c r="I302">
        <v>4</v>
      </c>
      <c r="J302" t="s">
        <v>1527</v>
      </c>
      <c r="K302" t="s">
        <v>1528</v>
      </c>
      <c r="L302" t="s">
        <v>1529</v>
      </c>
      <c r="M302" t="s">
        <v>1516</v>
      </c>
    </row>
    <row r="303" spans="1:52" x14ac:dyDescent="0.25">
      <c r="A303" t="s">
        <v>461</v>
      </c>
      <c r="B303" t="s">
        <v>135</v>
      </c>
      <c r="C303" t="s">
        <v>431</v>
      </c>
      <c r="D303" t="b">
        <v>1</v>
      </c>
      <c r="E303" t="s">
        <v>42</v>
      </c>
      <c r="F303">
        <v>0</v>
      </c>
      <c r="G303">
        <v>1</v>
      </c>
      <c r="H303" t="s">
        <v>462</v>
      </c>
      <c r="I303">
        <v>0</v>
      </c>
    </row>
    <row r="304" spans="1:52" x14ac:dyDescent="0.25">
      <c r="A304" t="s">
        <v>463</v>
      </c>
      <c r="B304" t="s">
        <v>135</v>
      </c>
      <c r="C304" t="s">
        <v>431</v>
      </c>
      <c r="D304" t="b">
        <v>1</v>
      </c>
      <c r="E304" t="s">
        <v>33</v>
      </c>
      <c r="F304">
        <v>0</v>
      </c>
      <c r="G304">
        <v>1</v>
      </c>
      <c r="H304" t="s">
        <v>464</v>
      </c>
      <c r="I304">
        <v>43</v>
      </c>
      <c r="J304" t="s">
        <v>916</v>
      </c>
      <c r="K304" t="s">
        <v>1417</v>
      </c>
      <c r="L304" t="s">
        <v>1418</v>
      </c>
      <c r="M304" t="s">
        <v>1419</v>
      </c>
      <c r="N304" t="s">
        <v>1420</v>
      </c>
      <c r="O304" t="s">
        <v>1421</v>
      </c>
      <c r="P304" t="s">
        <v>1422</v>
      </c>
      <c r="Q304" t="s">
        <v>1423</v>
      </c>
      <c r="R304" t="s">
        <v>1424</v>
      </c>
      <c r="S304" t="s">
        <v>1425</v>
      </c>
      <c r="T304" t="s">
        <v>1426</v>
      </c>
      <c r="U304" t="s">
        <v>1427</v>
      </c>
      <c r="V304" t="s">
        <v>1428</v>
      </c>
      <c r="W304" t="s">
        <v>1429</v>
      </c>
      <c r="X304" t="s">
        <v>1430</v>
      </c>
      <c r="Y304" t="s">
        <v>1431</v>
      </c>
      <c r="Z304" t="s">
        <v>1432</v>
      </c>
      <c r="AA304" t="s">
        <v>1433</v>
      </c>
      <c r="AB304" t="s">
        <v>1434</v>
      </c>
      <c r="AC304" t="s">
        <v>1435</v>
      </c>
      <c r="AD304" t="s">
        <v>1436</v>
      </c>
      <c r="AE304" t="s">
        <v>1437</v>
      </c>
      <c r="AF304" t="s">
        <v>1438</v>
      </c>
      <c r="AG304" t="s">
        <v>1439</v>
      </c>
      <c r="AH304" t="s">
        <v>1440</v>
      </c>
      <c r="AI304" t="s">
        <v>1441</v>
      </c>
      <c r="AJ304" t="s">
        <v>1442</v>
      </c>
      <c r="AK304" t="s">
        <v>1443</v>
      </c>
      <c r="AL304" t="s">
        <v>1444</v>
      </c>
      <c r="AM304" t="s">
        <v>1445</v>
      </c>
      <c r="AN304" t="s">
        <v>1446</v>
      </c>
      <c r="AO304" t="s">
        <v>1447</v>
      </c>
      <c r="AP304" t="s">
        <v>1448</v>
      </c>
      <c r="AQ304" t="s">
        <v>1449</v>
      </c>
      <c r="AR304" t="s">
        <v>1450</v>
      </c>
      <c r="AS304" t="s">
        <v>1451</v>
      </c>
      <c r="AT304" t="s">
        <v>1452</v>
      </c>
      <c r="AU304" t="s">
        <v>1453</v>
      </c>
      <c r="AV304" t="s">
        <v>1454</v>
      </c>
      <c r="AW304" t="s">
        <v>1455</v>
      </c>
      <c r="AX304" t="s">
        <v>1456</v>
      </c>
      <c r="AY304" t="s">
        <v>1457</v>
      </c>
      <c r="AZ304" t="s">
        <v>1458</v>
      </c>
    </row>
    <row r="305" spans="1:14" x14ac:dyDescent="0.25">
      <c r="A305" t="s">
        <v>412</v>
      </c>
      <c r="B305" t="s">
        <v>135</v>
      </c>
      <c r="C305" t="s">
        <v>431</v>
      </c>
      <c r="D305" t="b">
        <v>1</v>
      </c>
      <c r="E305" t="s">
        <v>42</v>
      </c>
      <c r="F305">
        <v>0</v>
      </c>
      <c r="G305">
        <v>1</v>
      </c>
      <c r="H305" t="s">
        <v>465</v>
      </c>
      <c r="I305">
        <v>0</v>
      </c>
    </row>
    <row r="306" spans="1:14" x14ac:dyDescent="0.25">
      <c r="A306" t="s">
        <v>466</v>
      </c>
      <c r="B306" t="s">
        <v>135</v>
      </c>
      <c r="C306" t="s">
        <v>431</v>
      </c>
      <c r="D306" t="b">
        <v>1</v>
      </c>
      <c r="E306" t="s">
        <v>42</v>
      </c>
      <c r="F306">
        <v>1</v>
      </c>
      <c r="G306">
        <v>1</v>
      </c>
      <c r="H306" t="s">
        <v>467</v>
      </c>
      <c r="I306">
        <v>0</v>
      </c>
    </row>
    <row r="307" spans="1:14" x14ac:dyDescent="0.25">
      <c r="A307" t="s">
        <v>468</v>
      </c>
      <c r="B307" t="s">
        <v>135</v>
      </c>
      <c r="C307" t="s">
        <v>431</v>
      </c>
      <c r="D307" t="b">
        <v>1</v>
      </c>
      <c r="E307" t="s">
        <v>33</v>
      </c>
      <c r="F307">
        <v>0</v>
      </c>
      <c r="G307">
        <v>1</v>
      </c>
      <c r="H307" t="s">
        <v>469</v>
      </c>
      <c r="I307">
        <v>4</v>
      </c>
      <c r="J307" t="s">
        <v>920</v>
      </c>
      <c r="K307" t="s">
        <v>1530</v>
      </c>
      <c r="L307" t="s">
        <v>1531</v>
      </c>
      <c r="M307" t="s">
        <v>1532</v>
      </c>
    </row>
    <row r="308" spans="1:14" x14ac:dyDescent="0.25">
      <c r="A308" t="s">
        <v>470</v>
      </c>
      <c r="B308" t="s">
        <v>135</v>
      </c>
      <c r="C308" t="s">
        <v>431</v>
      </c>
      <c r="D308" t="b">
        <v>1</v>
      </c>
      <c r="E308" t="s">
        <v>33</v>
      </c>
      <c r="F308">
        <v>0</v>
      </c>
      <c r="G308">
        <v>1</v>
      </c>
      <c r="H308" t="s">
        <v>471</v>
      </c>
      <c r="I308">
        <v>3</v>
      </c>
      <c r="J308" t="s">
        <v>1533</v>
      </c>
      <c r="K308" t="s">
        <v>1534</v>
      </c>
      <c r="L308" t="s">
        <v>1535</v>
      </c>
    </row>
    <row r="309" spans="1:14" x14ac:dyDescent="0.25">
      <c r="A309" t="s">
        <v>472</v>
      </c>
      <c r="B309" t="s">
        <v>135</v>
      </c>
      <c r="C309" t="s">
        <v>431</v>
      </c>
      <c r="D309" t="b">
        <v>1</v>
      </c>
      <c r="E309" t="s">
        <v>33</v>
      </c>
      <c r="F309">
        <v>0</v>
      </c>
      <c r="G309">
        <v>1</v>
      </c>
      <c r="H309" t="s">
        <v>473</v>
      </c>
      <c r="I309">
        <v>5</v>
      </c>
      <c r="J309" t="s">
        <v>1471</v>
      </c>
      <c r="K309" t="s">
        <v>1472</v>
      </c>
      <c r="L309" t="s">
        <v>1473</v>
      </c>
      <c r="M309" t="s">
        <v>1474</v>
      </c>
      <c r="N309" t="s">
        <v>1475</v>
      </c>
    </row>
    <row r="310" spans="1:14" x14ac:dyDescent="0.25">
      <c r="A310" t="s">
        <v>474</v>
      </c>
      <c r="B310" t="s">
        <v>135</v>
      </c>
      <c r="C310" t="s">
        <v>431</v>
      </c>
      <c r="D310" t="b">
        <v>1</v>
      </c>
      <c r="E310" t="s">
        <v>142</v>
      </c>
      <c r="F310">
        <v>0</v>
      </c>
      <c r="G310">
        <v>1</v>
      </c>
      <c r="H310" t="s">
        <v>475</v>
      </c>
      <c r="I310">
        <v>4</v>
      </c>
      <c r="J310" t="s">
        <v>1270</v>
      </c>
      <c r="K310" t="s">
        <v>918</v>
      </c>
      <c r="L310" t="s">
        <v>1271</v>
      </c>
      <c r="M310" t="s">
        <v>919</v>
      </c>
    </row>
    <row r="311" spans="1:14" x14ac:dyDescent="0.25">
      <c r="A311" t="s">
        <v>476</v>
      </c>
      <c r="B311" t="s">
        <v>135</v>
      </c>
      <c r="C311" t="s">
        <v>431</v>
      </c>
      <c r="D311" t="b">
        <v>1</v>
      </c>
      <c r="E311" t="s">
        <v>142</v>
      </c>
      <c r="F311">
        <v>0</v>
      </c>
      <c r="G311">
        <v>1</v>
      </c>
      <c r="H311" t="s">
        <v>477</v>
      </c>
      <c r="I311">
        <v>4</v>
      </c>
      <c r="J311" t="s">
        <v>1270</v>
      </c>
      <c r="K311" t="s">
        <v>918</v>
      </c>
      <c r="L311" t="s">
        <v>1271</v>
      </c>
      <c r="M311" t="s">
        <v>919</v>
      </c>
    </row>
    <row r="312" spans="1:14" x14ac:dyDescent="0.25">
      <c r="A312" t="s">
        <v>478</v>
      </c>
      <c r="B312" t="s">
        <v>135</v>
      </c>
      <c r="C312" t="s">
        <v>431</v>
      </c>
      <c r="D312" t="b">
        <v>1</v>
      </c>
      <c r="E312" t="s">
        <v>142</v>
      </c>
      <c r="F312">
        <v>0</v>
      </c>
      <c r="G312">
        <v>1</v>
      </c>
      <c r="H312" t="s">
        <v>479</v>
      </c>
      <c r="I312">
        <v>4</v>
      </c>
      <c r="J312" t="s">
        <v>1270</v>
      </c>
      <c r="K312" t="s">
        <v>918</v>
      </c>
      <c r="L312" t="s">
        <v>1271</v>
      </c>
      <c r="M312" t="s">
        <v>919</v>
      </c>
    </row>
    <row r="313" spans="1:14" x14ac:dyDescent="0.25">
      <c r="A313" t="s">
        <v>480</v>
      </c>
      <c r="B313" t="s">
        <v>135</v>
      </c>
      <c r="C313" t="s">
        <v>431</v>
      </c>
      <c r="D313" t="b">
        <v>1</v>
      </c>
      <c r="E313" t="s">
        <v>142</v>
      </c>
      <c r="F313">
        <v>0</v>
      </c>
      <c r="G313">
        <v>1</v>
      </c>
      <c r="H313" t="s">
        <v>481</v>
      </c>
      <c r="I313">
        <v>4</v>
      </c>
      <c r="J313" t="s">
        <v>1270</v>
      </c>
      <c r="K313" t="s">
        <v>918</v>
      </c>
      <c r="L313" t="s">
        <v>1271</v>
      </c>
      <c r="M313" t="s">
        <v>919</v>
      </c>
    </row>
    <row r="314" spans="1:14" x14ac:dyDescent="0.25">
      <c r="A314" t="s">
        <v>482</v>
      </c>
      <c r="B314" t="s">
        <v>135</v>
      </c>
      <c r="C314" t="s">
        <v>431</v>
      </c>
      <c r="D314" t="b">
        <v>1</v>
      </c>
      <c r="E314" t="s">
        <v>142</v>
      </c>
      <c r="F314">
        <v>0</v>
      </c>
      <c r="G314">
        <v>1</v>
      </c>
      <c r="H314" t="s">
        <v>483</v>
      </c>
      <c r="I314">
        <v>4</v>
      </c>
      <c r="J314" t="s">
        <v>1270</v>
      </c>
      <c r="K314" t="s">
        <v>918</v>
      </c>
      <c r="L314" t="s">
        <v>1271</v>
      </c>
      <c r="M314" t="s">
        <v>919</v>
      </c>
    </row>
    <row r="315" spans="1:14" x14ac:dyDescent="0.25">
      <c r="A315" t="s">
        <v>484</v>
      </c>
      <c r="B315" t="s">
        <v>135</v>
      </c>
      <c r="C315" t="s">
        <v>431</v>
      </c>
      <c r="D315" t="b">
        <v>1</v>
      </c>
      <c r="E315" t="s">
        <v>33</v>
      </c>
      <c r="F315">
        <v>0</v>
      </c>
      <c r="G315">
        <v>1</v>
      </c>
      <c r="H315" t="s">
        <v>485</v>
      </c>
      <c r="I315">
        <v>4</v>
      </c>
      <c r="J315" t="s">
        <v>1536</v>
      </c>
      <c r="K315" t="s">
        <v>1537</v>
      </c>
      <c r="L315" t="s">
        <v>1538</v>
      </c>
      <c r="M315" t="s">
        <v>1539</v>
      </c>
    </row>
    <row r="316" spans="1:14" x14ac:dyDescent="0.25">
      <c r="A316" t="s">
        <v>486</v>
      </c>
      <c r="B316" t="s">
        <v>135</v>
      </c>
      <c r="C316" t="s">
        <v>431</v>
      </c>
      <c r="D316" t="b">
        <v>1</v>
      </c>
      <c r="E316" t="s">
        <v>142</v>
      </c>
      <c r="F316">
        <v>0</v>
      </c>
      <c r="G316">
        <v>1</v>
      </c>
      <c r="H316" t="s">
        <v>487</v>
      </c>
      <c r="I316">
        <v>4</v>
      </c>
      <c r="J316" t="s">
        <v>1270</v>
      </c>
      <c r="K316" t="s">
        <v>918</v>
      </c>
      <c r="L316" t="s">
        <v>1271</v>
      </c>
      <c r="M316" t="s">
        <v>919</v>
      </c>
    </row>
    <row r="317" spans="1:14" x14ac:dyDescent="0.25">
      <c r="A317" t="s">
        <v>488</v>
      </c>
      <c r="B317" t="s">
        <v>135</v>
      </c>
      <c r="C317" t="s">
        <v>431</v>
      </c>
      <c r="D317" t="b">
        <v>1</v>
      </c>
      <c r="E317" t="s">
        <v>152</v>
      </c>
      <c r="F317">
        <v>0</v>
      </c>
      <c r="G317">
        <v>1</v>
      </c>
      <c r="H317" t="s">
        <v>489</v>
      </c>
      <c r="I317">
        <v>0</v>
      </c>
    </row>
    <row r="318" spans="1:14" x14ac:dyDescent="0.25">
      <c r="A318" t="s">
        <v>490</v>
      </c>
      <c r="B318" t="s">
        <v>135</v>
      </c>
      <c r="C318" t="s">
        <v>431</v>
      </c>
      <c r="D318" t="b">
        <v>1</v>
      </c>
      <c r="E318" t="s">
        <v>152</v>
      </c>
      <c r="F318">
        <v>1</v>
      </c>
      <c r="G318">
        <v>1</v>
      </c>
      <c r="H318" t="s">
        <v>491</v>
      </c>
      <c r="I318">
        <v>0</v>
      </c>
    </row>
    <row r="319" spans="1:14" x14ac:dyDescent="0.25">
      <c r="A319" t="s">
        <v>492</v>
      </c>
      <c r="B319" t="s">
        <v>135</v>
      </c>
      <c r="C319" t="s">
        <v>431</v>
      </c>
      <c r="D319" t="b">
        <v>1</v>
      </c>
      <c r="E319" t="s">
        <v>33</v>
      </c>
      <c r="F319">
        <v>0</v>
      </c>
      <c r="G319">
        <v>1</v>
      </c>
      <c r="H319" t="s">
        <v>29</v>
      </c>
      <c r="I319">
        <v>5</v>
      </c>
      <c r="J319" t="s">
        <v>1540</v>
      </c>
      <c r="K319" t="s">
        <v>1541</v>
      </c>
      <c r="L319" t="s">
        <v>1542</v>
      </c>
      <c r="M319" t="s">
        <v>1543</v>
      </c>
      <c r="N319" t="s">
        <v>1544</v>
      </c>
    </row>
    <row r="320" spans="1:14" x14ac:dyDescent="0.25">
      <c r="A320" t="s">
        <v>493</v>
      </c>
      <c r="B320" t="s">
        <v>135</v>
      </c>
      <c r="C320" t="s">
        <v>431</v>
      </c>
      <c r="D320" t="b">
        <v>1</v>
      </c>
      <c r="E320" t="s">
        <v>33</v>
      </c>
      <c r="F320">
        <v>0</v>
      </c>
      <c r="G320">
        <v>1</v>
      </c>
      <c r="H320" t="s">
        <v>29</v>
      </c>
      <c r="I320">
        <v>4</v>
      </c>
      <c r="J320" t="s">
        <v>1545</v>
      </c>
      <c r="K320" t="s">
        <v>1546</v>
      </c>
      <c r="L320" t="s">
        <v>1547</v>
      </c>
      <c r="M320" t="s">
        <v>1548</v>
      </c>
    </row>
    <row r="321" spans="1:19" x14ac:dyDescent="0.25">
      <c r="A321" t="s">
        <v>494</v>
      </c>
      <c r="B321" t="s">
        <v>135</v>
      </c>
      <c r="C321" t="s">
        <v>431</v>
      </c>
      <c r="D321" t="b">
        <v>1</v>
      </c>
      <c r="E321" t="s">
        <v>152</v>
      </c>
      <c r="F321">
        <v>0</v>
      </c>
      <c r="G321">
        <v>1</v>
      </c>
      <c r="H321" t="s">
        <v>495</v>
      </c>
      <c r="I321">
        <v>0</v>
      </c>
    </row>
    <row r="322" spans="1:19" x14ac:dyDescent="0.25">
      <c r="A322" t="s">
        <v>496</v>
      </c>
      <c r="B322" t="s">
        <v>135</v>
      </c>
      <c r="C322" t="s">
        <v>431</v>
      </c>
      <c r="D322" t="b">
        <v>1</v>
      </c>
      <c r="E322" t="s">
        <v>152</v>
      </c>
      <c r="F322">
        <v>0</v>
      </c>
      <c r="G322">
        <v>1</v>
      </c>
      <c r="H322" t="s">
        <v>495</v>
      </c>
      <c r="I322">
        <v>0</v>
      </c>
    </row>
    <row r="323" spans="1:19" x14ac:dyDescent="0.25">
      <c r="A323" t="s">
        <v>497</v>
      </c>
      <c r="B323" t="s">
        <v>135</v>
      </c>
      <c r="C323" t="s">
        <v>431</v>
      </c>
      <c r="D323" t="b">
        <v>1</v>
      </c>
      <c r="E323" t="s">
        <v>152</v>
      </c>
      <c r="F323">
        <v>0</v>
      </c>
      <c r="G323">
        <v>1</v>
      </c>
      <c r="H323" t="s">
        <v>498</v>
      </c>
      <c r="I323">
        <v>0</v>
      </c>
    </row>
    <row r="324" spans="1:19" x14ac:dyDescent="0.25">
      <c r="A324" t="s">
        <v>499</v>
      </c>
      <c r="B324" t="s">
        <v>135</v>
      </c>
      <c r="C324" t="s">
        <v>431</v>
      </c>
      <c r="D324" t="b">
        <v>1</v>
      </c>
      <c r="E324" t="s">
        <v>33</v>
      </c>
      <c r="F324">
        <v>0</v>
      </c>
      <c r="G324">
        <v>1</v>
      </c>
      <c r="H324" t="s">
        <v>500</v>
      </c>
      <c r="I324">
        <v>0</v>
      </c>
    </row>
    <row r="325" spans="1:19" x14ac:dyDescent="0.25">
      <c r="A325" t="s">
        <v>501</v>
      </c>
      <c r="B325" t="s">
        <v>135</v>
      </c>
      <c r="C325" t="s">
        <v>431</v>
      </c>
      <c r="D325" t="b">
        <v>1</v>
      </c>
      <c r="E325" t="s">
        <v>142</v>
      </c>
      <c r="F325">
        <v>0</v>
      </c>
      <c r="G325">
        <v>1</v>
      </c>
      <c r="H325" t="s">
        <v>502</v>
      </c>
      <c r="I325">
        <v>4</v>
      </c>
      <c r="J325" t="s">
        <v>1270</v>
      </c>
      <c r="K325" t="s">
        <v>918</v>
      </c>
      <c r="L325" t="s">
        <v>1271</v>
      </c>
      <c r="M325" t="s">
        <v>919</v>
      </c>
    </row>
    <row r="326" spans="1:19" x14ac:dyDescent="0.25">
      <c r="A326" t="s">
        <v>503</v>
      </c>
      <c r="B326" t="s">
        <v>135</v>
      </c>
      <c r="C326" t="s">
        <v>431</v>
      </c>
      <c r="D326" t="b">
        <v>1</v>
      </c>
      <c r="E326" t="s">
        <v>42</v>
      </c>
      <c r="F326">
        <v>0</v>
      </c>
      <c r="G326">
        <v>1</v>
      </c>
      <c r="H326" t="s">
        <v>504</v>
      </c>
      <c r="I326">
        <v>0</v>
      </c>
    </row>
    <row r="327" spans="1:19" x14ac:dyDescent="0.25">
      <c r="A327" t="s">
        <v>505</v>
      </c>
      <c r="B327" t="s">
        <v>135</v>
      </c>
      <c r="C327" t="s">
        <v>431</v>
      </c>
      <c r="D327" t="b">
        <v>0</v>
      </c>
      <c r="F327">
        <v>0</v>
      </c>
      <c r="G327">
        <v>1</v>
      </c>
      <c r="H327" t="s">
        <v>506</v>
      </c>
      <c r="I327">
        <v>0</v>
      </c>
    </row>
    <row r="328" spans="1:19" x14ac:dyDescent="0.25">
      <c r="A328" t="s">
        <v>507</v>
      </c>
      <c r="B328" t="s">
        <v>505</v>
      </c>
      <c r="C328" t="s">
        <v>135</v>
      </c>
      <c r="D328" t="b">
        <v>0</v>
      </c>
      <c r="F328">
        <v>0</v>
      </c>
      <c r="G328">
        <v>1</v>
      </c>
      <c r="H328" t="s">
        <v>29</v>
      </c>
      <c r="I328">
        <v>0</v>
      </c>
    </row>
    <row r="329" spans="1:19" x14ac:dyDescent="0.25">
      <c r="A329" t="s">
        <v>508</v>
      </c>
      <c r="B329" t="s">
        <v>507</v>
      </c>
      <c r="C329" t="s">
        <v>505</v>
      </c>
      <c r="D329" t="b">
        <v>0</v>
      </c>
      <c r="F329">
        <v>1</v>
      </c>
      <c r="G329">
        <v>3</v>
      </c>
      <c r="H329" t="s">
        <v>29</v>
      </c>
      <c r="I329">
        <v>0</v>
      </c>
    </row>
    <row r="330" spans="1:19" x14ac:dyDescent="0.25">
      <c r="A330" t="s">
        <v>509</v>
      </c>
      <c r="B330" t="s">
        <v>508</v>
      </c>
      <c r="C330" t="s">
        <v>507</v>
      </c>
      <c r="D330" t="b">
        <v>1</v>
      </c>
      <c r="E330" t="s">
        <v>152</v>
      </c>
      <c r="F330">
        <v>1</v>
      </c>
      <c r="G330">
        <v>1</v>
      </c>
      <c r="H330" t="s">
        <v>510</v>
      </c>
      <c r="I330">
        <v>0</v>
      </c>
    </row>
    <row r="331" spans="1:19" x14ac:dyDescent="0.25">
      <c r="A331" t="s">
        <v>286</v>
      </c>
      <c r="B331" t="s">
        <v>508</v>
      </c>
      <c r="C331" t="s">
        <v>507</v>
      </c>
      <c r="D331" t="b">
        <v>1</v>
      </c>
      <c r="E331" t="s">
        <v>33</v>
      </c>
      <c r="F331">
        <v>0</v>
      </c>
      <c r="G331">
        <v>1</v>
      </c>
      <c r="H331" t="s">
        <v>511</v>
      </c>
      <c r="I331">
        <v>10</v>
      </c>
      <c r="J331" t="s">
        <v>1402</v>
      </c>
      <c r="K331" t="s">
        <v>1403</v>
      </c>
      <c r="L331" t="s">
        <v>1404</v>
      </c>
      <c r="M331" t="s">
        <v>1405</v>
      </c>
      <c r="N331" t="s">
        <v>923</v>
      </c>
      <c r="O331" t="s">
        <v>1406</v>
      </c>
      <c r="P331" t="s">
        <v>1407</v>
      </c>
      <c r="Q331" t="s">
        <v>1408</v>
      </c>
      <c r="R331" t="s">
        <v>1549</v>
      </c>
      <c r="S331" t="s">
        <v>1550</v>
      </c>
    </row>
    <row r="332" spans="1:19" x14ac:dyDescent="0.25">
      <c r="A332" t="s">
        <v>512</v>
      </c>
      <c r="B332" t="s">
        <v>508</v>
      </c>
      <c r="C332" t="s">
        <v>507</v>
      </c>
      <c r="D332" t="b">
        <v>1</v>
      </c>
      <c r="E332" t="s">
        <v>33</v>
      </c>
      <c r="F332">
        <v>0</v>
      </c>
      <c r="G332">
        <v>1</v>
      </c>
      <c r="H332" t="s">
        <v>513</v>
      </c>
      <c r="I332">
        <v>5</v>
      </c>
      <c r="J332" t="s">
        <v>1551</v>
      </c>
      <c r="K332" t="s">
        <v>1552</v>
      </c>
      <c r="L332" t="s">
        <v>1553</v>
      </c>
      <c r="M332" t="s">
        <v>1554</v>
      </c>
      <c r="N332" t="s">
        <v>1555</v>
      </c>
    </row>
    <row r="333" spans="1:19" x14ac:dyDescent="0.25">
      <c r="A333" t="s">
        <v>514</v>
      </c>
      <c r="B333" t="s">
        <v>508</v>
      </c>
      <c r="C333" t="s">
        <v>507</v>
      </c>
      <c r="D333" t="b">
        <v>1</v>
      </c>
      <c r="E333" t="s">
        <v>33</v>
      </c>
      <c r="F333">
        <v>0</v>
      </c>
      <c r="G333">
        <v>1</v>
      </c>
      <c r="H333" t="s">
        <v>515</v>
      </c>
      <c r="I333">
        <v>6</v>
      </c>
      <c r="J333" t="s">
        <v>1556</v>
      </c>
      <c r="K333" t="s">
        <v>1557</v>
      </c>
      <c r="L333" t="s">
        <v>1558</v>
      </c>
      <c r="M333" t="s">
        <v>1465</v>
      </c>
      <c r="N333" t="s">
        <v>1559</v>
      </c>
      <c r="O333" t="s">
        <v>1560</v>
      </c>
    </row>
    <row r="334" spans="1:19" x14ac:dyDescent="0.25">
      <c r="A334" t="s">
        <v>516</v>
      </c>
      <c r="B334" t="s">
        <v>508</v>
      </c>
      <c r="C334" t="s">
        <v>507</v>
      </c>
      <c r="D334" t="b">
        <v>1</v>
      </c>
      <c r="E334" t="s">
        <v>142</v>
      </c>
      <c r="F334">
        <v>0</v>
      </c>
      <c r="G334">
        <v>1</v>
      </c>
      <c r="H334" t="s">
        <v>517</v>
      </c>
      <c r="I334">
        <v>4</v>
      </c>
      <c r="J334" t="s">
        <v>1270</v>
      </c>
      <c r="K334" t="s">
        <v>918</v>
      </c>
      <c r="L334" t="s">
        <v>1271</v>
      </c>
      <c r="M334" t="s">
        <v>919</v>
      </c>
    </row>
    <row r="335" spans="1:19" x14ac:dyDescent="0.25">
      <c r="A335" t="s">
        <v>518</v>
      </c>
      <c r="B335" t="s">
        <v>508</v>
      </c>
      <c r="C335" t="s">
        <v>507</v>
      </c>
      <c r="D335" t="b">
        <v>1</v>
      </c>
      <c r="E335" t="s">
        <v>33</v>
      </c>
      <c r="F335">
        <v>0</v>
      </c>
      <c r="G335">
        <v>1</v>
      </c>
      <c r="H335" t="s">
        <v>519</v>
      </c>
      <c r="I335">
        <v>0</v>
      </c>
    </row>
    <row r="336" spans="1:19" x14ac:dyDescent="0.25">
      <c r="A336" t="s">
        <v>520</v>
      </c>
      <c r="B336" t="s">
        <v>508</v>
      </c>
      <c r="C336" t="s">
        <v>507</v>
      </c>
      <c r="D336" t="b">
        <v>1</v>
      </c>
      <c r="E336" t="s">
        <v>33</v>
      </c>
      <c r="F336">
        <v>0</v>
      </c>
      <c r="G336">
        <v>1</v>
      </c>
      <c r="H336" t="s">
        <v>521</v>
      </c>
      <c r="I336">
        <v>0</v>
      </c>
    </row>
    <row r="337" spans="1:21" x14ac:dyDescent="0.25">
      <c r="A337" t="s">
        <v>522</v>
      </c>
      <c r="B337" t="s">
        <v>508</v>
      </c>
      <c r="C337" t="s">
        <v>507</v>
      </c>
      <c r="D337" t="b">
        <v>1</v>
      </c>
      <c r="E337" t="s">
        <v>152</v>
      </c>
      <c r="F337">
        <v>0</v>
      </c>
      <c r="G337">
        <v>1</v>
      </c>
      <c r="H337" t="s">
        <v>523</v>
      </c>
      <c r="I337">
        <v>0</v>
      </c>
    </row>
    <row r="338" spans="1:21" x14ac:dyDescent="0.25">
      <c r="A338" t="s">
        <v>524</v>
      </c>
      <c r="B338" t="s">
        <v>505</v>
      </c>
      <c r="C338" t="s">
        <v>135</v>
      </c>
      <c r="D338" t="b">
        <v>0</v>
      </c>
      <c r="F338">
        <v>0</v>
      </c>
      <c r="G338">
        <v>1</v>
      </c>
      <c r="H338" t="s">
        <v>29</v>
      </c>
      <c r="I338">
        <v>0</v>
      </c>
    </row>
    <row r="339" spans="1:21" x14ac:dyDescent="0.25">
      <c r="A339" t="s">
        <v>525</v>
      </c>
      <c r="B339" t="s">
        <v>524</v>
      </c>
      <c r="C339" t="s">
        <v>505</v>
      </c>
      <c r="D339" t="b">
        <v>0</v>
      </c>
      <c r="F339">
        <v>1</v>
      </c>
      <c r="G339">
        <v>99</v>
      </c>
      <c r="H339" t="s">
        <v>29</v>
      </c>
      <c r="I339">
        <v>0</v>
      </c>
    </row>
    <row r="340" spans="1:21" x14ac:dyDescent="0.25">
      <c r="A340" t="s">
        <v>526</v>
      </c>
      <c r="B340" t="s">
        <v>525</v>
      </c>
      <c r="C340" t="s">
        <v>524</v>
      </c>
      <c r="D340" t="b">
        <v>1</v>
      </c>
      <c r="E340" t="s">
        <v>33</v>
      </c>
      <c r="F340">
        <v>0</v>
      </c>
      <c r="G340">
        <v>1</v>
      </c>
      <c r="H340" t="s">
        <v>527</v>
      </c>
      <c r="I340">
        <v>0</v>
      </c>
    </row>
    <row r="341" spans="1:21" x14ac:dyDescent="0.25">
      <c r="A341" t="s">
        <v>528</v>
      </c>
      <c r="B341" t="s">
        <v>525</v>
      </c>
      <c r="C341" t="s">
        <v>524</v>
      </c>
      <c r="D341" t="b">
        <v>1</v>
      </c>
      <c r="E341" t="s">
        <v>33</v>
      </c>
      <c r="F341">
        <v>0</v>
      </c>
      <c r="G341">
        <v>1</v>
      </c>
      <c r="H341" t="s">
        <v>529</v>
      </c>
      <c r="I341">
        <v>0</v>
      </c>
    </row>
    <row r="342" spans="1:21" x14ac:dyDescent="0.25">
      <c r="A342" t="s">
        <v>530</v>
      </c>
      <c r="B342" t="s">
        <v>525</v>
      </c>
      <c r="C342" t="s">
        <v>524</v>
      </c>
      <c r="D342" t="b">
        <v>1</v>
      </c>
      <c r="E342" t="s">
        <v>152</v>
      </c>
      <c r="F342">
        <v>1</v>
      </c>
      <c r="G342">
        <v>1</v>
      </c>
      <c r="H342" t="s">
        <v>531</v>
      </c>
      <c r="I342">
        <v>0</v>
      </c>
    </row>
    <row r="343" spans="1:21" x14ac:dyDescent="0.25">
      <c r="A343" t="s">
        <v>532</v>
      </c>
      <c r="B343" t="s">
        <v>525</v>
      </c>
      <c r="C343" t="s">
        <v>524</v>
      </c>
      <c r="D343" t="b">
        <v>1</v>
      </c>
      <c r="E343" t="s">
        <v>152</v>
      </c>
      <c r="F343">
        <v>1</v>
      </c>
      <c r="G343">
        <v>1</v>
      </c>
      <c r="H343" t="s">
        <v>533</v>
      </c>
      <c r="I343">
        <v>0</v>
      </c>
    </row>
    <row r="344" spans="1:21" x14ac:dyDescent="0.25">
      <c r="A344" t="s">
        <v>534</v>
      </c>
      <c r="B344" t="s">
        <v>505</v>
      </c>
      <c r="C344" t="s">
        <v>135</v>
      </c>
      <c r="D344" t="b">
        <v>1</v>
      </c>
      <c r="E344" t="s">
        <v>33</v>
      </c>
      <c r="F344">
        <v>1</v>
      </c>
      <c r="G344">
        <v>1</v>
      </c>
      <c r="H344" t="s">
        <v>535</v>
      </c>
      <c r="I344">
        <v>6</v>
      </c>
      <c r="J344" t="s">
        <v>1561</v>
      </c>
      <c r="K344" t="s">
        <v>1562</v>
      </c>
      <c r="L344" t="s">
        <v>1563</v>
      </c>
      <c r="M344" t="s">
        <v>1564</v>
      </c>
      <c r="N344" t="s">
        <v>1565</v>
      </c>
      <c r="O344" t="s">
        <v>1566</v>
      </c>
    </row>
    <row r="345" spans="1:21" x14ac:dyDescent="0.25">
      <c r="A345" t="s">
        <v>536</v>
      </c>
      <c r="B345" t="s">
        <v>505</v>
      </c>
      <c r="C345" t="s">
        <v>135</v>
      </c>
      <c r="D345" t="b">
        <v>1</v>
      </c>
      <c r="E345" t="s">
        <v>152</v>
      </c>
      <c r="F345">
        <v>0</v>
      </c>
      <c r="G345">
        <v>1</v>
      </c>
      <c r="H345" t="s">
        <v>537</v>
      </c>
      <c r="I345">
        <v>0</v>
      </c>
    </row>
    <row r="346" spans="1:21" x14ac:dyDescent="0.25">
      <c r="A346" t="s">
        <v>538</v>
      </c>
      <c r="B346" t="s">
        <v>505</v>
      </c>
      <c r="C346" t="s">
        <v>135</v>
      </c>
      <c r="D346" t="b">
        <v>1</v>
      </c>
      <c r="E346" t="s">
        <v>33</v>
      </c>
      <c r="F346">
        <v>0</v>
      </c>
      <c r="G346">
        <v>1</v>
      </c>
      <c r="H346" t="s">
        <v>539</v>
      </c>
      <c r="I346">
        <v>0</v>
      </c>
    </row>
    <row r="347" spans="1:21" x14ac:dyDescent="0.25">
      <c r="A347" t="s">
        <v>540</v>
      </c>
      <c r="B347" t="s">
        <v>505</v>
      </c>
      <c r="C347" t="s">
        <v>135</v>
      </c>
      <c r="D347" t="b">
        <v>0</v>
      </c>
      <c r="F347">
        <v>0</v>
      </c>
      <c r="G347">
        <v>1</v>
      </c>
      <c r="H347" t="s">
        <v>541</v>
      </c>
      <c r="I347">
        <v>0</v>
      </c>
    </row>
    <row r="348" spans="1:21" x14ac:dyDescent="0.25">
      <c r="A348" t="s">
        <v>542</v>
      </c>
      <c r="B348" t="s">
        <v>540</v>
      </c>
      <c r="C348" t="s">
        <v>505</v>
      </c>
      <c r="D348" t="b">
        <v>0</v>
      </c>
      <c r="F348">
        <v>12</v>
      </c>
      <c r="G348">
        <v>12</v>
      </c>
      <c r="H348" t="s">
        <v>29</v>
      </c>
      <c r="I348">
        <v>0</v>
      </c>
    </row>
    <row r="349" spans="1:21" x14ac:dyDescent="0.25">
      <c r="A349" t="s">
        <v>543</v>
      </c>
      <c r="B349" t="s">
        <v>542</v>
      </c>
      <c r="C349" t="s">
        <v>540</v>
      </c>
      <c r="D349" t="b">
        <v>1</v>
      </c>
      <c r="E349" t="s">
        <v>33</v>
      </c>
      <c r="F349">
        <v>1</v>
      </c>
      <c r="G349">
        <v>1</v>
      </c>
      <c r="H349" t="s">
        <v>29</v>
      </c>
      <c r="I349">
        <v>12</v>
      </c>
      <c r="J349" t="s">
        <v>1567</v>
      </c>
      <c r="K349" t="s">
        <v>1568</v>
      </c>
      <c r="L349" t="s">
        <v>1569</v>
      </c>
      <c r="M349" t="s">
        <v>1570</v>
      </c>
      <c r="N349" t="s">
        <v>1571</v>
      </c>
      <c r="O349" t="s">
        <v>1572</v>
      </c>
      <c r="P349" t="s">
        <v>1573</v>
      </c>
      <c r="Q349" t="s">
        <v>1574</v>
      </c>
      <c r="R349" t="s">
        <v>1575</v>
      </c>
      <c r="S349" t="s">
        <v>1576</v>
      </c>
      <c r="T349" t="s">
        <v>1577</v>
      </c>
      <c r="U349" t="s">
        <v>1578</v>
      </c>
    </row>
    <row r="350" spans="1:21" x14ac:dyDescent="0.25">
      <c r="A350" t="s">
        <v>544</v>
      </c>
      <c r="B350" t="s">
        <v>542</v>
      </c>
      <c r="C350" t="s">
        <v>540</v>
      </c>
      <c r="D350" t="b">
        <v>1</v>
      </c>
      <c r="E350" t="s">
        <v>152</v>
      </c>
      <c r="F350">
        <v>1</v>
      </c>
      <c r="G350">
        <v>1</v>
      </c>
      <c r="H350" t="s">
        <v>545</v>
      </c>
      <c r="I350">
        <v>0</v>
      </c>
    </row>
    <row r="351" spans="1:21" x14ac:dyDescent="0.25">
      <c r="A351" t="s">
        <v>546</v>
      </c>
      <c r="B351" t="s">
        <v>505</v>
      </c>
      <c r="C351" t="s">
        <v>135</v>
      </c>
      <c r="D351" t="b">
        <v>1</v>
      </c>
      <c r="E351" t="s">
        <v>142</v>
      </c>
      <c r="F351">
        <v>0</v>
      </c>
      <c r="G351">
        <v>1</v>
      </c>
      <c r="H351" t="s">
        <v>547</v>
      </c>
      <c r="I351">
        <v>4</v>
      </c>
      <c r="J351" t="s">
        <v>1270</v>
      </c>
      <c r="K351" t="s">
        <v>918</v>
      </c>
      <c r="L351" t="s">
        <v>1271</v>
      </c>
      <c r="M351" t="s">
        <v>919</v>
      </c>
    </row>
    <row r="352" spans="1:21" x14ac:dyDescent="0.25">
      <c r="A352" t="s">
        <v>548</v>
      </c>
      <c r="B352" t="s">
        <v>135</v>
      </c>
      <c r="C352" t="s">
        <v>431</v>
      </c>
      <c r="D352" t="b">
        <v>0</v>
      </c>
      <c r="F352">
        <v>0</v>
      </c>
      <c r="G352">
        <v>1</v>
      </c>
      <c r="H352" t="s">
        <v>29</v>
      </c>
      <c r="I352">
        <v>0</v>
      </c>
    </row>
    <row r="353" spans="1:15" x14ac:dyDescent="0.25">
      <c r="A353" t="s">
        <v>549</v>
      </c>
      <c r="B353" t="s">
        <v>548</v>
      </c>
      <c r="C353" t="s">
        <v>135</v>
      </c>
      <c r="D353" t="b">
        <v>1</v>
      </c>
      <c r="E353" t="s">
        <v>152</v>
      </c>
      <c r="F353">
        <v>1</v>
      </c>
      <c r="G353">
        <v>1</v>
      </c>
      <c r="H353" t="s">
        <v>29</v>
      </c>
      <c r="I353">
        <v>0</v>
      </c>
    </row>
    <row r="354" spans="1:15" x14ac:dyDescent="0.25">
      <c r="A354" t="s">
        <v>550</v>
      </c>
      <c r="B354" t="s">
        <v>548</v>
      </c>
      <c r="C354" t="s">
        <v>135</v>
      </c>
      <c r="D354" t="b">
        <v>1</v>
      </c>
      <c r="E354" t="s">
        <v>33</v>
      </c>
      <c r="F354">
        <v>1</v>
      </c>
      <c r="G354">
        <v>1</v>
      </c>
      <c r="H354" t="s">
        <v>29</v>
      </c>
      <c r="I354">
        <v>0</v>
      </c>
    </row>
    <row r="355" spans="1:15" x14ac:dyDescent="0.25">
      <c r="A355" t="s">
        <v>551</v>
      </c>
      <c r="B355" t="s">
        <v>548</v>
      </c>
      <c r="C355" t="s">
        <v>135</v>
      </c>
      <c r="D355" t="b">
        <v>1</v>
      </c>
      <c r="E355" t="s">
        <v>33</v>
      </c>
      <c r="F355">
        <v>1</v>
      </c>
      <c r="G355">
        <v>1</v>
      </c>
      <c r="H355" t="s">
        <v>29</v>
      </c>
      <c r="I355">
        <v>0</v>
      </c>
    </row>
    <row r="356" spans="1:15" x14ac:dyDescent="0.25">
      <c r="A356" t="s">
        <v>552</v>
      </c>
      <c r="B356" t="s">
        <v>135</v>
      </c>
      <c r="C356" t="s">
        <v>431</v>
      </c>
      <c r="D356" t="b">
        <v>0</v>
      </c>
      <c r="F356">
        <v>0</v>
      </c>
      <c r="G356">
        <v>1</v>
      </c>
      <c r="H356" t="s">
        <v>29</v>
      </c>
      <c r="I356">
        <v>0</v>
      </c>
    </row>
    <row r="357" spans="1:15" x14ac:dyDescent="0.25">
      <c r="A357" t="s">
        <v>553</v>
      </c>
      <c r="B357" t="s">
        <v>552</v>
      </c>
      <c r="C357" t="s">
        <v>135</v>
      </c>
      <c r="D357" t="b">
        <v>0</v>
      </c>
      <c r="F357">
        <v>1</v>
      </c>
      <c r="G357">
        <v>4</v>
      </c>
      <c r="H357" t="s">
        <v>29</v>
      </c>
      <c r="I357">
        <v>0</v>
      </c>
    </row>
    <row r="358" spans="1:15" x14ac:dyDescent="0.25">
      <c r="A358" t="s">
        <v>554</v>
      </c>
      <c r="B358" t="s">
        <v>553</v>
      </c>
      <c r="C358" t="s">
        <v>552</v>
      </c>
      <c r="D358" t="b">
        <v>1</v>
      </c>
      <c r="E358" t="s">
        <v>42</v>
      </c>
      <c r="F358">
        <v>1</v>
      </c>
      <c r="G358">
        <v>1</v>
      </c>
      <c r="H358" t="s">
        <v>555</v>
      </c>
      <c r="I358">
        <v>0</v>
      </c>
    </row>
    <row r="359" spans="1:15" x14ac:dyDescent="0.25">
      <c r="A359" t="s">
        <v>556</v>
      </c>
      <c r="B359" t="s">
        <v>553</v>
      </c>
      <c r="C359" t="s">
        <v>552</v>
      </c>
      <c r="D359" t="b">
        <v>1</v>
      </c>
      <c r="E359" t="s">
        <v>42</v>
      </c>
      <c r="F359">
        <v>1</v>
      </c>
      <c r="G359">
        <v>1</v>
      </c>
      <c r="H359" t="s">
        <v>557</v>
      </c>
      <c r="I359">
        <v>0</v>
      </c>
    </row>
    <row r="360" spans="1:15" x14ac:dyDescent="0.25">
      <c r="A360" t="s">
        <v>558</v>
      </c>
      <c r="B360" t="s">
        <v>553</v>
      </c>
      <c r="C360" t="s">
        <v>552</v>
      </c>
      <c r="D360" t="b">
        <v>1</v>
      </c>
      <c r="E360" t="s">
        <v>142</v>
      </c>
      <c r="F360">
        <v>1</v>
      </c>
      <c r="G360">
        <v>1</v>
      </c>
      <c r="H360" t="s">
        <v>559</v>
      </c>
      <c r="I360">
        <v>4</v>
      </c>
      <c r="J360" t="s">
        <v>1270</v>
      </c>
      <c r="K360" t="s">
        <v>918</v>
      </c>
      <c r="L360" t="s">
        <v>1271</v>
      </c>
      <c r="M360" t="s">
        <v>919</v>
      </c>
    </row>
    <row r="361" spans="1:15" x14ac:dyDescent="0.25">
      <c r="A361" t="s">
        <v>560</v>
      </c>
      <c r="B361" t="s">
        <v>135</v>
      </c>
      <c r="C361" t="s">
        <v>431</v>
      </c>
      <c r="D361" t="b">
        <v>1</v>
      </c>
      <c r="E361" t="s">
        <v>33</v>
      </c>
      <c r="F361">
        <v>0</v>
      </c>
      <c r="G361">
        <v>1</v>
      </c>
      <c r="H361" t="s">
        <v>561</v>
      </c>
      <c r="I361">
        <v>6</v>
      </c>
      <c r="J361" t="s">
        <v>1579</v>
      </c>
      <c r="K361" t="s">
        <v>1580</v>
      </c>
      <c r="L361" t="s">
        <v>1581</v>
      </c>
      <c r="M361" t="s">
        <v>1582</v>
      </c>
      <c r="N361" t="s">
        <v>1583</v>
      </c>
      <c r="O361" t="s">
        <v>1584</v>
      </c>
    </row>
    <row r="362" spans="1:15" x14ac:dyDescent="0.25">
      <c r="A362" t="s">
        <v>562</v>
      </c>
      <c r="B362" t="s">
        <v>135</v>
      </c>
      <c r="C362" t="s">
        <v>431</v>
      </c>
      <c r="D362" t="b">
        <v>1</v>
      </c>
      <c r="E362" t="s">
        <v>142</v>
      </c>
      <c r="F362">
        <v>0</v>
      </c>
      <c r="G362">
        <v>1</v>
      </c>
      <c r="H362" t="s">
        <v>563</v>
      </c>
      <c r="I362">
        <v>4</v>
      </c>
      <c r="J362" t="s">
        <v>1270</v>
      </c>
      <c r="K362" t="s">
        <v>918</v>
      </c>
      <c r="L362" t="s">
        <v>1271</v>
      </c>
      <c r="M362" t="s">
        <v>919</v>
      </c>
    </row>
    <row r="363" spans="1:15" x14ac:dyDescent="0.25">
      <c r="A363" t="s">
        <v>564</v>
      </c>
      <c r="B363" t="s">
        <v>135</v>
      </c>
      <c r="C363" t="s">
        <v>431</v>
      </c>
      <c r="D363" t="b">
        <v>1</v>
      </c>
      <c r="E363" t="s">
        <v>33</v>
      </c>
      <c r="F363">
        <v>0</v>
      </c>
      <c r="G363">
        <v>1</v>
      </c>
      <c r="H363" t="s">
        <v>565</v>
      </c>
      <c r="I363">
        <v>3</v>
      </c>
      <c r="J363" t="s">
        <v>1579</v>
      </c>
      <c r="K363" t="s">
        <v>1585</v>
      </c>
      <c r="L363" t="s">
        <v>1586</v>
      </c>
    </row>
    <row r="364" spans="1:15" x14ac:dyDescent="0.25">
      <c r="A364" t="s">
        <v>566</v>
      </c>
      <c r="B364" t="s">
        <v>135</v>
      </c>
      <c r="C364" t="s">
        <v>431</v>
      </c>
      <c r="D364" t="b">
        <v>1</v>
      </c>
      <c r="E364" t="s">
        <v>42</v>
      </c>
      <c r="F364">
        <v>0</v>
      </c>
      <c r="G364">
        <v>1</v>
      </c>
      <c r="H364" t="s">
        <v>567</v>
      </c>
      <c r="I364">
        <v>0</v>
      </c>
    </row>
    <row r="365" spans="1:15" x14ac:dyDescent="0.25">
      <c r="A365" t="s">
        <v>568</v>
      </c>
      <c r="B365" t="s">
        <v>135</v>
      </c>
      <c r="C365" t="s">
        <v>431</v>
      </c>
      <c r="D365" t="b">
        <v>1</v>
      </c>
      <c r="E365" t="s">
        <v>33</v>
      </c>
      <c r="F365">
        <v>0</v>
      </c>
      <c r="G365">
        <v>1</v>
      </c>
      <c r="H365" t="s">
        <v>29</v>
      </c>
      <c r="I365">
        <v>0</v>
      </c>
    </row>
    <row r="366" spans="1:15" x14ac:dyDescent="0.25">
      <c r="A366" t="s">
        <v>569</v>
      </c>
      <c r="B366" t="s">
        <v>135</v>
      </c>
      <c r="C366" t="s">
        <v>431</v>
      </c>
      <c r="D366" t="b">
        <v>1</v>
      </c>
      <c r="E366" t="s">
        <v>33</v>
      </c>
      <c r="F366">
        <v>0</v>
      </c>
      <c r="G366">
        <v>1</v>
      </c>
      <c r="H366" t="s">
        <v>29</v>
      </c>
      <c r="I366">
        <v>0</v>
      </c>
    </row>
    <row r="367" spans="1:15" x14ac:dyDescent="0.25">
      <c r="A367" t="s">
        <v>570</v>
      </c>
      <c r="B367" t="s">
        <v>135</v>
      </c>
      <c r="C367" t="s">
        <v>431</v>
      </c>
      <c r="D367" t="b">
        <v>1</v>
      </c>
      <c r="E367" t="s">
        <v>33</v>
      </c>
      <c r="F367">
        <v>0</v>
      </c>
      <c r="G367">
        <v>1</v>
      </c>
      <c r="H367" t="s">
        <v>29</v>
      </c>
      <c r="I367">
        <v>0</v>
      </c>
    </row>
    <row r="368" spans="1:15" x14ac:dyDescent="0.25">
      <c r="A368" t="s">
        <v>571</v>
      </c>
      <c r="B368" t="s">
        <v>135</v>
      </c>
      <c r="C368" t="s">
        <v>431</v>
      </c>
      <c r="D368" t="b">
        <v>1</v>
      </c>
      <c r="E368" t="s">
        <v>33</v>
      </c>
      <c r="F368">
        <v>0</v>
      </c>
      <c r="G368">
        <v>1</v>
      </c>
      <c r="H368" t="s">
        <v>29</v>
      </c>
      <c r="I368">
        <v>0</v>
      </c>
    </row>
    <row r="369" spans="1:13" x14ac:dyDescent="0.25">
      <c r="A369" t="s">
        <v>572</v>
      </c>
      <c r="B369" t="s">
        <v>318</v>
      </c>
      <c r="C369" t="s">
        <v>5</v>
      </c>
      <c r="D369" t="b">
        <v>1</v>
      </c>
      <c r="E369" t="s">
        <v>33</v>
      </c>
      <c r="F369">
        <v>0</v>
      </c>
      <c r="G369">
        <v>1</v>
      </c>
      <c r="H369" t="s">
        <v>29</v>
      </c>
      <c r="I369">
        <v>1</v>
      </c>
      <c r="J369" t="s">
        <v>573</v>
      </c>
    </row>
    <row r="370" spans="1:13" x14ac:dyDescent="0.25">
      <c r="A370" t="s">
        <v>574</v>
      </c>
      <c r="B370" t="s">
        <v>318</v>
      </c>
      <c r="C370" t="s">
        <v>5</v>
      </c>
      <c r="D370" t="b">
        <v>1</v>
      </c>
      <c r="E370" t="s">
        <v>33</v>
      </c>
      <c r="F370">
        <v>0</v>
      </c>
      <c r="G370">
        <v>1</v>
      </c>
      <c r="H370" t="s">
        <v>29</v>
      </c>
      <c r="I370">
        <v>2</v>
      </c>
      <c r="J370" t="s">
        <v>1587</v>
      </c>
      <c r="K370" t="s">
        <v>1588</v>
      </c>
    </row>
    <row r="371" spans="1:13" x14ac:dyDescent="0.25">
      <c r="A371" t="s">
        <v>575</v>
      </c>
      <c r="B371" t="s">
        <v>318</v>
      </c>
      <c r="C371" t="s">
        <v>5</v>
      </c>
      <c r="D371" t="b">
        <v>0</v>
      </c>
      <c r="F371">
        <v>0</v>
      </c>
      <c r="G371">
        <v>1</v>
      </c>
      <c r="H371" t="s">
        <v>576</v>
      </c>
      <c r="I371">
        <v>0</v>
      </c>
    </row>
    <row r="372" spans="1:13" x14ac:dyDescent="0.25">
      <c r="A372" t="s">
        <v>549</v>
      </c>
      <c r="B372" t="s">
        <v>575</v>
      </c>
      <c r="C372" t="s">
        <v>318</v>
      </c>
      <c r="D372" t="b">
        <v>1</v>
      </c>
      <c r="E372" t="s">
        <v>152</v>
      </c>
      <c r="F372">
        <v>1</v>
      </c>
      <c r="G372">
        <v>1</v>
      </c>
      <c r="H372" t="s">
        <v>29</v>
      </c>
      <c r="I372">
        <v>0</v>
      </c>
    </row>
    <row r="373" spans="1:13" x14ac:dyDescent="0.25">
      <c r="A373" t="s">
        <v>550</v>
      </c>
      <c r="B373" t="s">
        <v>575</v>
      </c>
      <c r="C373" t="s">
        <v>318</v>
      </c>
      <c r="D373" t="b">
        <v>1</v>
      </c>
      <c r="E373" t="s">
        <v>33</v>
      </c>
      <c r="F373">
        <v>1</v>
      </c>
      <c r="G373">
        <v>1</v>
      </c>
      <c r="H373" t="s">
        <v>29</v>
      </c>
      <c r="I373">
        <v>0</v>
      </c>
    </row>
    <row r="374" spans="1:13" x14ac:dyDescent="0.25">
      <c r="A374" t="s">
        <v>551</v>
      </c>
      <c r="B374" t="s">
        <v>575</v>
      </c>
      <c r="C374" t="s">
        <v>318</v>
      </c>
      <c r="D374" t="b">
        <v>1</v>
      </c>
      <c r="E374" t="s">
        <v>33</v>
      </c>
      <c r="F374">
        <v>1</v>
      </c>
      <c r="G374">
        <v>1</v>
      </c>
      <c r="H374" t="s">
        <v>29</v>
      </c>
      <c r="I374">
        <v>0</v>
      </c>
    </row>
    <row r="375" spans="1:13" x14ac:dyDescent="0.25">
      <c r="A375" t="s">
        <v>577</v>
      </c>
      <c r="B375" t="s">
        <v>318</v>
      </c>
      <c r="C375" t="s">
        <v>5</v>
      </c>
      <c r="D375" t="b">
        <v>1</v>
      </c>
      <c r="E375" t="s">
        <v>33</v>
      </c>
      <c r="F375">
        <v>0</v>
      </c>
      <c r="G375">
        <v>1</v>
      </c>
      <c r="H375" t="s">
        <v>578</v>
      </c>
      <c r="I375">
        <v>4</v>
      </c>
      <c r="J375" t="s">
        <v>1589</v>
      </c>
      <c r="K375" t="s">
        <v>1590</v>
      </c>
      <c r="L375" t="s">
        <v>1591</v>
      </c>
      <c r="M375" t="s">
        <v>1592</v>
      </c>
    </row>
    <row r="376" spans="1:13" x14ac:dyDescent="0.25">
      <c r="A376" t="s">
        <v>579</v>
      </c>
      <c r="B376" t="s">
        <v>318</v>
      </c>
      <c r="C376" t="s">
        <v>5</v>
      </c>
      <c r="D376" t="b">
        <v>0</v>
      </c>
      <c r="F376">
        <v>0</v>
      </c>
      <c r="G376">
        <v>1</v>
      </c>
      <c r="H376" t="s">
        <v>29</v>
      </c>
      <c r="I376">
        <v>0</v>
      </c>
    </row>
    <row r="377" spans="1:13" x14ac:dyDescent="0.25">
      <c r="A377" t="s">
        <v>580</v>
      </c>
      <c r="B377" t="s">
        <v>579</v>
      </c>
      <c r="C377" t="s">
        <v>318</v>
      </c>
      <c r="D377" t="b">
        <v>1</v>
      </c>
      <c r="E377" t="s">
        <v>33</v>
      </c>
      <c r="F377">
        <v>0</v>
      </c>
      <c r="G377">
        <v>1</v>
      </c>
      <c r="H377" t="s">
        <v>581</v>
      </c>
      <c r="I377">
        <v>0</v>
      </c>
    </row>
    <row r="378" spans="1:13" x14ac:dyDescent="0.25">
      <c r="A378" t="s">
        <v>582</v>
      </c>
      <c r="B378" t="s">
        <v>579</v>
      </c>
      <c r="C378" t="s">
        <v>318</v>
      </c>
      <c r="D378" t="b">
        <v>1</v>
      </c>
      <c r="E378" t="s">
        <v>33</v>
      </c>
      <c r="F378">
        <v>0</v>
      </c>
      <c r="G378">
        <v>1</v>
      </c>
      <c r="H378" t="s">
        <v>583</v>
      </c>
      <c r="I378">
        <v>0</v>
      </c>
    </row>
    <row r="379" spans="1:13" x14ac:dyDescent="0.25">
      <c r="A379" t="s">
        <v>584</v>
      </c>
      <c r="B379" t="s">
        <v>579</v>
      </c>
      <c r="C379" t="s">
        <v>318</v>
      </c>
      <c r="D379" t="b">
        <v>1</v>
      </c>
      <c r="E379" t="s">
        <v>152</v>
      </c>
      <c r="F379">
        <v>1</v>
      </c>
      <c r="G379">
        <v>1</v>
      </c>
      <c r="H379" t="s">
        <v>585</v>
      </c>
      <c r="I379">
        <v>0</v>
      </c>
    </row>
    <row r="380" spans="1:13" x14ac:dyDescent="0.25">
      <c r="A380" t="s">
        <v>586</v>
      </c>
      <c r="B380" t="s">
        <v>579</v>
      </c>
      <c r="C380" t="s">
        <v>318</v>
      </c>
      <c r="D380" t="b">
        <v>1</v>
      </c>
      <c r="E380" t="s">
        <v>33</v>
      </c>
      <c r="F380">
        <v>1</v>
      </c>
      <c r="G380">
        <v>1</v>
      </c>
      <c r="H380" t="s">
        <v>587</v>
      </c>
      <c r="I380">
        <v>4</v>
      </c>
      <c r="J380" t="s">
        <v>1593</v>
      </c>
      <c r="K380" t="s">
        <v>1594</v>
      </c>
      <c r="L380" t="s">
        <v>1595</v>
      </c>
      <c r="M380" t="s">
        <v>1560</v>
      </c>
    </row>
    <row r="381" spans="1:13" x14ac:dyDescent="0.25">
      <c r="A381" t="s">
        <v>588</v>
      </c>
      <c r="B381" t="s">
        <v>579</v>
      </c>
      <c r="C381" t="s">
        <v>318</v>
      </c>
      <c r="D381" t="b">
        <v>1</v>
      </c>
      <c r="E381" t="s">
        <v>33</v>
      </c>
      <c r="F381">
        <v>1</v>
      </c>
      <c r="G381">
        <v>1</v>
      </c>
      <c r="H381" t="s">
        <v>589</v>
      </c>
      <c r="I381">
        <v>3</v>
      </c>
      <c r="J381" t="s">
        <v>924</v>
      </c>
      <c r="K381" t="s">
        <v>1596</v>
      </c>
      <c r="L381" t="s">
        <v>1560</v>
      </c>
    </row>
    <row r="382" spans="1:13" x14ac:dyDescent="0.25">
      <c r="A382" t="s">
        <v>590</v>
      </c>
      <c r="B382" t="s">
        <v>579</v>
      </c>
      <c r="C382" t="s">
        <v>318</v>
      </c>
      <c r="D382" t="b">
        <v>1</v>
      </c>
      <c r="E382" t="s">
        <v>152</v>
      </c>
      <c r="F382">
        <v>0</v>
      </c>
      <c r="G382">
        <v>1</v>
      </c>
      <c r="H382" t="s">
        <v>591</v>
      </c>
      <c r="I382">
        <v>0</v>
      </c>
    </row>
    <row r="383" spans="1:13" x14ac:dyDescent="0.25">
      <c r="A383" t="s">
        <v>592</v>
      </c>
      <c r="B383" t="s">
        <v>579</v>
      </c>
      <c r="C383" t="s">
        <v>318</v>
      </c>
      <c r="D383" t="b">
        <v>1</v>
      </c>
      <c r="E383" t="s">
        <v>152</v>
      </c>
      <c r="F383">
        <v>0</v>
      </c>
      <c r="G383">
        <v>1</v>
      </c>
      <c r="H383" t="s">
        <v>593</v>
      </c>
      <c r="I383">
        <v>0</v>
      </c>
    </row>
    <row r="384" spans="1:13" x14ac:dyDescent="0.25">
      <c r="A384" t="s">
        <v>594</v>
      </c>
      <c r="B384" t="s">
        <v>579</v>
      </c>
      <c r="C384" t="s">
        <v>318</v>
      </c>
      <c r="D384" t="b">
        <v>1</v>
      </c>
      <c r="E384" t="s">
        <v>152</v>
      </c>
      <c r="F384">
        <v>0</v>
      </c>
      <c r="G384">
        <v>1</v>
      </c>
      <c r="H384" t="s">
        <v>595</v>
      </c>
      <c r="I384">
        <v>0</v>
      </c>
    </row>
    <row r="385" spans="1:19" x14ac:dyDescent="0.25">
      <c r="A385" t="s">
        <v>596</v>
      </c>
      <c r="B385" t="s">
        <v>579</v>
      </c>
      <c r="C385" t="s">
        <v>318</v>
      </c>
      <c r="D385" t="b">
        <v>1</v>
      </c>
      <c r="E385" t="s">
        <v>152</v>
      </c>
      <c r="F385">
        <v>0</v>
      </c>
      <c r="G385">
        <v>1</v>
      </c>
      <c r="H385" t="s">
        <v>597</v>
      </c>
      <c r="I385">
        <v>0</v>
      </c>
    </row>
    <row r="386" spans="1:19" x14ac:dyDescent="0.25">
      <c r="A386" t="s">
        <v>598</v>
      </c>
      <c r="B386" t="s">
        <v>579</v>
      </c>
      <c r="C386" t="s">
        <v>318</v>
      </c>
      <c r="D386" t="b">
        <v>1</v>
      </c>
      <c r="E386" t="s">
        <v>33</v>
      </c>
      <c r="F386">
        <v>1</v>
      </c>
      <c r="G386">
        <v>1</v>
      </c>
      <c r="H386" t="s">
        <v>599</v>
      </c>
      <c r="I386">
        <v>10</v>
      </c>
      <c r="J386" t="s">
        <v>1402</v>
      </c>
      <c r="K386" t="s">
        <v>1403</v>
      </c>
      <c r="L386" t="s">
        <v>1404</v>
      </c>
      <c r="M386" t="s">
        <v>1405</v>
      </c>
      <c r="N386" t="s">
        <v>923</v>
      </c>
      <c r="O386" t="s">
        <v>1406</v>
      </c>
      <c r="P386" t="s">
        <v>1407</v>
      </c>
      <c r="Q386" t="s">
        <v>1408</v>
      </c>
      <c r="R386" t="s">
        <v>1549</v>
      </c>
      <c r="S386" t="s">
        <v>1550</v>
      </c>
    </row>
    <row r="387" spans="1:19" x14ac:dyDescent="0.25">
      <c r="A387" t="s">
        <v>600</v>
      </c>
      <c r="B387" t="s">
        <v>579</v>
      </c>
      <c r="C387" t="s">
        <v>318</v>
      </c>
      <c r="D387" t="b">
        <v>1</v>
      </c>
      <c r="E387" t="s">
        <v>42</v>
      </c>
      <c r="F387">
        <v>1</v>
      </c>
      <c r="G387">
        <v>1</v>
      </c>
      <c r="H387" t="s">
        <v>29</v>
      </c>
      <c r="I387">
        <v>0</v>
      </c>
    </row>
    <row r="388" spans="1:19" x14ac:dyDescent="0.25">
      <c r="A388" t="s">
        <v>601</v>
      </c>
      <c r="B388" t="s">
        <v>579</v>
      </c>
      <c r="C388" t="s">
        <v>318</v>
      </c>
      <c r="D388" t="b">
        <v>1</v>
      </c>
      <c r="E388" t="s">
        <v>33</v>
      </c>
      <c r="F388">
        <v>1</v>
      </c>
      <c r="G388">
        <v>1</v>
      </c>
      <c r="H388" t="s">
        <v>29</v>
      </c>
      <c r="I388">
        <v>6</v>
      </c>
      <c r="J388" t="s">
        <v>1556</v>
      </c>
      <c r="K388" t="s">
        <v>1557</v>
      </c>
      <c r="L388" t="s">
        <v>1558</v>
      </c>
      <c r="M388" t="s">
        <v>1465</v>
      </c>
      <c r="N388" t="s">
        <v>1559</v>
      </c>
      <c r="O388" t="s">
        <v>1560</v>
      </c>
    </row>
    <row r="389" spans="1:19" x14ac:dyDescent="0.25">
      <c r="A389" t="s">
        <v>602</v>
      </c>
      <c r="B389" t="s">
        <v>579</v>
      </c>
      <c r="C389" t="s">
        <v>318</v>
      </c>
      <c r="D389" t="b">
        <v>1</v>
      </c>
      <c r="E389" t="s">
        <v>142</v>
      </c>
      <c r="F389">
        <v>1</v>
      </c>
      <c r="G389">
        <v>1</v>
      </c>
      <c r="H389" t="s">
        <v>29</v>
      </c>
      <c r="I389">
        <v>4</v>
      </c>
      <c r="J389" t="s">
        <v>1270</v>
      </c>
      <c r="K389" t="s">
        <v>918</v>
      </c>
      <c r="L389" t="s">
        <v>1271</v>
      </c>
      <c r="M389" t="s">
        <v>919</v>
      </c>
    </row>
    <row r="390" spans="1:19" x14ac:dyDescent="0.25">
      <c r="A390" t="s">
        <v>603</v>
      </c>
      <c r="B390" t="s">
        <v>579</v>
      </c>
      <c r="C390" t="s">
        <v>318</v>
      </c>
      <c r="D390" t="b">
        <v>1</v>
      </c>
      <c r="E390" t="s">
        <v>142</v>
      </c>
      <c r="F390">
        <v>1</v>
      </c>
      <c r="G390">
        <v>1</v>
      </c>
      <c r="H390" t="s">
        <v>29</v>
      </c>
      <c r="I390">
        <v>4</v>
      </c>
      <c r="J390" t="s">
        <v>1270</v>
      </c>
      <c r="K390" t="s">
        <v>918</v>
      </c>
      <c r="L390" t="s">
        <v>1271</v>
      </c>
      <c r="M390" t="s">
        <v>919</v>
      </c>
    </row>
    <row r="391" spans="1:19" x14ac:dyDescent="0.25">
      <c r="A391" t="s">
        <v>604</v>
      </c>
      <c r="B391" t="s">
        <v>579</v>
      </c>
      <c r="C391" t="s">
        <v>318</v>
      </c>
      <c r="D391" t="b">
        <v>1</v>
      </c>
      <c r="E391" t="s">
        <v>152</v>
      </c>
      <c r="F391">
        <v>1</v>
      </c>
      <c r="G391">
        <v>1</v>
      </c>
      <c r="H391" t="s">
        <v>605</v>
      </c>
      <c r="I391">
        <v>0</v>
      </c>
    </row>
    <row r="392" spans="1:19" x14ac:dyDescent="0.25">
      <c r="A392" t="s">
        <v>606</v>
      </c>
      <c r="B392" t="s">
        <v>579</v>
      </c>
      <c r="C392" t="s">
        <v>318</v>
      </c>
      <c r="D392" t="b">
        <v>1</v>
      </c>
      <c r="E392" t="s">
        <v>152</v>
      </c>
      <c r="F392">
        <v>0</v>
      </c>
      <c r="G392">
        <v>1</v>
      </c>
      <c r="H392" t="s">
        <v>607</v>
      </c>
      <c r="I392">
        <v>0</v>
      </c>
    </row>
    <row r="393" spans="1:19" x14ac:dyDescent="0.25">
      <c r="A393" t="s">
        <v>608</v>
      </c>
      <c r="B393" t="s">
        <v>579</v>
      </c>
      <c r="C393" t="s">
        <v>318</v>
      </c>
      <c r="D393" t="b">
        <v>1</v>
      </c>
      <c r="E393" t="s">
        <v>152</v>
      </c>
      <c r="F393">
        <v>0</v>
      </c>
      <c r="G393">
        <v>1</v>
      </c>
      <c r="H393" t="s">
        <v>609</v>
      </c>
      <c r="I393">
        <v>0</v>
      </c>
    </row>
    <row r="394" spans="1:19" x14ac:dyDescent="0.25">
      <c r="A394" t="s">
        <v>610</v>
      </c>
      <c r="B394" t="s">
        <v>579</v>
      </c>
      <c r="C394" t="s">
        <v>318</v>
      </c>
      <c r="D394" t="b">
        <v>1</v>
      </c>
      <c r="E394" t="s">
        <v>142</v>
      </c>
      <c r="F394">
        <v>1</v>
      </c>
      <c r="G394">
        <v>1</v>
      </c>
      <c r="H394" t="s">
        <v>29</v>
      </c>
      <c r="I394">
        <v>4</v>
      </c>
      <c r="J394" t="s">
        <v>1270</v>
      </c>
      <c r="K394" t="s">
        <v>918</v>
      </c>
      <c r="L394" t="s">
        <v>1271</v>
      </c>
      <c r="M394" t="s">
        <v>919</v>
      </c>
    </row>
    <row r="395" spans="1:19" x14ac:dyDescent="0.25">
      <c r="A395" t="s">
        <v>611</v>
      </c>
      <c r="B395" t="s">
        <v>579</v>
      </c>
      <c r="C395" t="s">
        <v>318</v>
      </c>
      <c r="D395" t="b">
        <v>1</v>
      </c>
      <c r="E395" t="s">
        <v>33</v>
      </c>
      <c r="F395">
        <v>1</v>
      </c>
      <c r="G395">
        <v>1</v>
      </c>
      <c r="H395" t="s">
        <v>29</v>
      </c>
      <c r="I395">
        <v>3</v>
      </c>
      <c r="J395" t="s">
        <v>1597</v>
      </c>
      <c r="K395" t="s">
        <v>1598</v>
      </c>
      <c r="L395" t="s">
        <v>1599</v>
      </c>
    </row>
    <row r="396" spans="1:19" x14ac:dyDescent="0.25">
      <c r="A396" t="s">
        <v>612</v>
      </c>
      <c r="B396" t="s">
        <v>579</v>
      </c>
      <c r="C396" t="s">
        <v>318</v>
      </c>
      <c r="D396" t="b">
        <v>1</v>
      </c>
      <c r="E396" t="s">
        <v>152</v>
      </c>
      <c r="F396">
        <v>0</v>
      </c>
      <c r="G396">
        <v>1</v>
      </c>
      <c r="H396" t="s">
        <v>613</v>
      </c>
      <c r="I396">
        <v>0</v>
      </c>
    </row>
    <row r="397" spans="1:19" x14ac:dyDescent="0.25">
      <c r="A397" t="s">
        <v>614</v>
      </c>
      <c r="B397" t="s">
        <v>318</v>
      </c>
      <c r="C397" t="s">
        <v>5</v>
      </c>
      <c r="D397" t="b">
        <v>0</v>
      </c>
      <c r="F397">
        <v>0</v>
      </c>
      <c r="G397">
        <v>1</v>
      </c>
      <c r="H397" t="s">
        <v>615</v>
      </c>
      <c r="I397">
        <v>0</v>
      </c>
    </row>
    <row r="398" spans="1:19" x14ac:dyDescent="0.25">
      <c r="A398" t="s">
        <v>616</v>
      </c>
      <c r="B398" t="s">
        <v>614</v>
      </c>
      <c r="C398" t="s">
        <v>318</v>
      </c>
      <c r="D398" t="b">
        <v>1</v>
      </c>
      <c r="E398" t="s">
        <v>42</v>
      </c>
      <c r="F398">
        <v>1</v>
      </c>
      <c r="G398">
        <v>1</v>
      </c>
      <c r="H398" t="s">
        <v>29</v>
      </c>
      <c r="I398">
        <v>0</v>
      </c>
    </row>
    <row r="399" spans="1:19" x14ac:dyDescent="0.25">
      <c r="A399" t="s">
        <v>617</v>
      </c>
      <c r="B399" t="s">
        <v>614</v>
      </c>
      <c r="C399" t="s">
        <v>318</v>
      </c>
      <c r="D399" t="b">
        <v>1</v>
      </c>
      <c r="E399" t="s">
        <v>42</v>
      </c>
      <c r="F399">
        <v>0</v>
      </c>
      <c r="G399">
        <v>1</v>
      </c>
      <c r="H399" t="s">
        <v>618</v>
      </c>
      <c r="I399">
        <v>0</v>
      </c>
    </row>
    <row r="400" spans="1:19" x14ac:dyDescent="0.25">
      <c r="A400" t="s">
        <v>619</v>
      </c>
      <c r="B400" t="s">
        <v>614</v>
      </c>
      <c r="C400" t="s">
        <v>318</v>
      </c>
      <c r="D400" t="b">
        <v>1</v>
      </c>
      <c r="E400" t="s">
        <v>152</v>
      </c>
      <c r="F400">
        <v>0</v>
      </c>
      <c r="G400">
        <v>1</v>
      </c>
      <c r="H400" t="s">
        <v>29</v>
      </c>
      <c r="I400">
        <v>0</v>
      </c>
    </row>
    <row r="401" spans="1:14" x14ac:dyDescent="0.25">
      <c r="A401" t="s">
        <v>620</v>
      </c>
      <c r="B401" t="s">
        <v>614</v>
      </c>
      <c r="C401" t="s">
        <v>318</v>
      </c>
      <c r="D401" t="b">
        <v>1</v>
      </c>
      <c r="E401" t="s">
        <v>33</v>
      </c>
      <c r="F401">
        <v>0</v>
      </c>
      <c r="G401">
        <v>1</v>
      </c>
      <c r="H401" t="s">
        <v>29</v>
      </c>
      <c r="I401">
        <v>0</v>
      </c>
    </row>
    <row r="402" spans="1:14" x14ac:dyDescent="0.25">
      <c r="A402" t="s">
        <v>621</v>
      </c>
      <c r="B402" t="s">
        <v>614</v>
      </c>
      <c r="C402" t="s">
        <v>318</v>
      </c>
      <c r="D402" t="b">
        <v>1</v>
      </c>
      <c r="E402" t="s">
        <v>33</v>
      </c>
      <c r="F402">
        <v>0</v>
      </c>
      <c r="G402">
        <v>1</v>
      </c>
      <c r="H402" t="s">
        <v>29</v>
      </c>
      <c r="I402">
        <v>0</v>
      </c>
    </row>
    <row r="403" spans="1:14" x14ac:dyDescent="0.25">
      <c r="A403" t="s">
        <v>622</v>
      </c>
      <c r="B403" t="s">
        <v>614</v>
      </c>
      <c r="C403" t="s">
        <v>318</v>
      </c>
      <c r="D403" t="b">
        <v>1</v>
      </c>
      <c r="E403" t="s">
        <v>152</v>
      </c>
      <c r="F403">
        <v>0</v>
      </c>
      <c r="G403">
        <v>1</v>
      </c>
      <c r="H403" t="s">
        <v>29</v>
      </c>
      <c r="I403">
        <v>0</v>
      </c>
    </row>
    <row r="404" spans="1:14" x14ac:dyDescent="0.25">
      <c r="A404" t="s">
        <v>623</v>
      </c>
      <c r="B404" t="s">
        <v>614</v>
      </c>
      <c r="C404" t="s">
        <v>318</v>
      </c>
      <c r="D404" t="b">
        <v>1</v>
      </c>
      <c r="E404" t="s">
        <v>33</v>
      </c>
      <c r="F404">
        <v>0</v>
      </c>
      <c r="G404">
        <v>1</v>
      </c>
      <c r="H404" t="s">
        <v>29</v>
      </c>
      <c r="I404">
        <v>0</v>
      </c>
    </row>
    <row r="405" spans="1:14" x14ac:dyDescent="0.25">
      <c r="A405" t="s">
        <v>624</v>
      </c>
      <c r="B405" t="s">
        <v>614</v>
      </c>
      <c r="C405" t="s">
        <v>318</v>
      </c>
      <c r="D405" t="b">
        <v>1</v>
      </c>
      <c r="E405" t="s">
        <v>33</v>
      </c>
      <c r="F405">
        <v>0</v>
      </c>
      <c r="G405">
        <v>1</v>
      </c>
      <c r="H405" t="s">
        <v>29</v>
      </c>
      <c r="I405">
        <v>0</v>
      </c>
    </row>
    <row r="406" spans="1:14" x14ac:dyDescent="0.25">
      <c r="A406" t="s">
        <v>625</v>
      </c>
      <c r="B406" t="s">
        <v>318</v>
      </c>
      <c r="C406" t="s">
        <v>5</v>
      </c>
      <c r="D406" t="b">
        <v>0</v>
      </c>
      <c r="F406">
        <v>0</v>
      </c>
      <c r="G406">
        <v>1</v>
      </c>
      <c r="H406" t="s">
        <v>29</v>
      </c>
      <c r="I406">
        <v>0</v>
      </c>
    </row>
    <row r="407" spans="1:14" x14ac:dyDescent="0.25">
      <c r="A407" t="s">
        <v>626</v>
      </c>
      <c r="B407" t="s">
        <v>625</v>
      </c>
      <c r="C407" t="s">
        <v>318</v>
      </c>
      <c r="D407" t="b">
        <v>1</v>
      </c>
      <c r="E407" t="s">
        <v>42</v>
      </c>
      <c r="F407">
        <v>1</v>
      </c>
      <c r="G407">
        <v>1</v>
      </c>
      <c r="H407" t="s">
        <v>29</v>
      </c>
      <c r="I407">
        <v>0</v>
      </c>
    </row>
    <row r="408" spans="1:14" x14ac:dyDescent="0.25">
      <c r="A408" t="s">
        <v>627</v>
      </c>
      <c r="B408" t="s">
        <v>625</v>
      </c>
      <c r="C408" t="s">
        <v>318</v>
      </c>
      <c r="D408" t="b">
        <v>1</v>
      </c>
      <c r="E408" t="s">
        <v>152</v>
      </c>
      <c r="F408">
        <v>1</v>
      </c>
      <c r="G408">
        <v>1</v>
      </c>
      <c r="H408" t="s">
        <v>628</v>
      </c>
      <c r="I408">
        <v>0</v>
      </c>
    </row>
    <row r="409" spans="1:14" x14ac:dyDescent="0.25">
      <c r="A409" t="s">
        <v>629</v>
      </c>
      <c r="B409" t="s">
        <v>625</v>
      </c>
      <c r="C409" t="s">
        <v>318</v>
      </c>
      <c r="D409" t="b">
        <v>1</v>
      </c>
      <c r="E409" t="s">
        <v>152</v>
      </c>
      <c r="F409">
        <v>0</v>
      </c>
      <c r="G409">
        <v>1</v>
      </c>
      <c r="H409" t="s">
        <v>29</v>
      </c>
      <c r="I409">
        <v>0</v>
      </c>
    </row>
    <row r="410" spans="1:14" x14ac:dyDescent="0.25">
      <c r="A410" t="s">
        <v>630</v>
      </c>
      <c r="B410" t="s">
        <v>625</v>
      </c>
      <c r="C410" t="s">
        <v>318</v>
      </c>
      <c r="D410" t="b">
        <v>1</v>
      </c>
      <c r="E410" t="s">
        <v>33</v>
      </c>
      <c r="F410">
        <v>0</v>
      </c>
      <c r="G410">
        <v>1</v>
      </c>
      <c r="H410" t="s">
        <v>29</v>
      </c>
      <c r="I410">
        <v>0</v>
      </c>
    </row>
    <row r="411" spans="1:14" x14ac:dyDescent="0.25">
      <c r="A411" t="s">
        <v>631</v>
      </c>
      <c r="B411" t="s">
        <v>625</v>
      </c>
      <c r="C411" t="s">
        <v>318</v>
      </c>
      <c r="D411" t="b">
        <v>1</v>
      </c>
      <c r="E411" t="s">
        <v>33</v>
      </c>
      <c r="F411">
        <v>0</v>
      </c>
      <c r="G411">
        <v>1</v>
      </c>
      <c r="H411" t="s">
        <v>29</v>
      </c>
      <c r="I411">
        <v>0</v>
      </c>
    </row>
    <row r="412" spans="1:14" x14ac:dyDescent="0.25">
      <c r="A412" t="s">
        <v>632</v>
      </c>
      <c r="B412" t="s">
        <v>318</v>
      </c>
      <c r="C412" t="s">
        <v>5</v>
      </c>
      <c r="D412" t="b">
        <v>0</v>
      </c>
      <c r="F412">
        <v>0</v>
      </c>
      <c r="G412">
        <v>1</v>
      </c>
      <c r="H412" t="s">
        <v>633</v>
      </c>
      <c r="I412">
        <v>0</v>
      </c>
    </row>
    <row r="413" spans="1:14" x14ac:dyDescent="0.25">
      <c r="A413" t="s">
        <v>634</v>
      </c>
      <c r="B413" t="s">
        <v>632</v>
      </c>
      <c r="C413" t="s">
        <v>318</v>
      </c>
      <c r="D413" t="b">
        <v>0</v>
      </c>
      <c r="F413">
        <v>1</v>
      </c>
      <c r="G413">
        <v>5</v>
      </c>
      <c r="H413" t="s">
        <v>635</v>
      </c>
      <c r="I413">
        <v>0</v>
      </c>
    </row>
    <row r="414" spans="1:14" x14ac:dyDescent="0.25">
      <c r="A414" t="s">
        <v>636</v>
      </c>
      <c r="B414" t="s">
        <v>634</v>
      </c>
      <c r="C414" t="s">
        <v>632</v>
      </c>
      <c r="D414" t="b">
        <v>1</v>
      </c>
      <c r="E414" t="s">
        <v>33</v>
      </c>
      <c r="F414">
        <v>1</v>
      </c>
      <c r="G414">
        <v>1</v>
      </c>
      <c r="H414" t="s">
        <v>637</v>
      </c>
      <c r="I414">
        <v>5</v>
      </c>
      <c r="J414" t="s">
        <v>1600</v>
      </c>
      <c r="K414" t="s">
        <v>1601</v>
      </c>
      <c r="L414" t="s">
        <v>1602</v>
      </c>
      <c r="M414" t="s">
        <v>1603</v>
      </c>
      <c r="N414" t="s">
        <v>1604</v>
      </c>
    </row>
    <row r="415" spans="1:14" x14ac:dyDescent="0.25">
      <c r="A415" t="s">
        <v>638</v>
      </c>
      <c r="B415" t="s">
        <v>634</v>
      </c>
      <c r="C415" t="s">
        <v>632</v>
      </c>
      <c r="D415" t="b">
        <v>1</v>
      </c>
      <c r="E415" t="s">
        <v>152</v>
      </c>
      <c r="F415">
        <v>0</v>
      </c>
      <c r="G415">
        <v>1</v>
      </c>
      <c r="H415" t="s">
        <v>639</v>
      </c>
      <c r="I415">
        <v>0</v>
      </c>
    </row>
    <row r="416" spans="1:14" x14ac:dyDescent="0.25">
      <c r="A416" t="s">
        <v>640</v>
      </c>
      <c r="B416" t="s">
        <v>634</v>
      </c>
      <c r="C416" t="s">
        <v>632</v>
      </c>
      <c r="D416" t="b">
        <v>1</v>
      </c>
      <c r="E416" t="s">
        <v>152</v>
      </c>
      <c r="F416">
        <v>0</v>
      </c>
      <c r="G416">
        <v>1</v>
      </c>
      <c r="H416" t="s">
        <v>641</v>
      </c>
      <c r="I416">
        <v>0</v>
      </c>
    </row>
    <row r="417" spans="1:19" x14ac:dyDescent="0.25">
      <c r="A417" t="s">
        <v>642</v>
      </c>
      <c r="B417" t="s">
        <v>634</v>
      </c>
      <c r="C417" t="s">
        <v>632</v>
      </c>
      <c r="D417" t="b">
        <v>1</v>
      </c>
      <c r="E417" t="s">
        <v>33</v>
      </c>
      <c r="F417">
        <v>1</v>
      </c>
      <c r="G417">
        <v>1</v>
      </c>
      <c r="H417" t="s">
        <v>643</v>
      </c>
      <c r="I417">
        <v>4</v>
      </c>
      <c r="J417" t="s">
        <v>915</v>
      </c>
      <c r="K417" t="s">
        <v>1605</v>
      </c>
      <c r="L417" t="s">
        <v>1606</v>
      </c>
      <c r="M417" t="s">
        <v>1607</v>
      </c>
    </row>
    <row r="418" spans="1:19" x14ac:dyDescent="0.25">
      <c r="A418" t="s">
        <v>644</v>
      </c>
      <c r="B418" t="s">
        <v>318</v>
      </c>
      <c r="C418" t="s">
        <v>5</v>
      </c>
      <c r="D418" t="b">
        <v>1</v>
      </c>
      <c r="E418" t="s">
        <v>42</v>
      </c>
      <c r="F418">
        <v>0</v>
      </c>
      <c r="G418">
        <v>1</v>
      </c>
      <c r="H418" t="s">
        <v>29</v>
      </c>
      <c r="I418">
        <v>0</v>
      </c>
    </row>
    <row r="419" spans="1:19" x14ac:dyDescent="0.25">
      <c r="A419" t="s">
        <v>645</v>
      </c>
      <c r="B419" t="s">
        <v>318</v>
      </c>
      <c r="C419" t="s">
        <v>5</v>
      </c>
      <c r="D419" t="b">
        <v>1</v>
      </c>
      <c r="E419" t="s">
        <v>42</v>
      </c>
      <c r="F419">
        <v>0</v>
      </c>
      <c r="G419">
        <v>1</v>
      </c>
      <c r="H419" t="s">
        <v>29</v>
      </c>
      <c r="I419">
        <v>0</v>
      </c>
    </row>
    <row r="420" spans="1:19" x14ac:dyDescent="0.25">
      <c r="A420" t="s">
        <v>646</v>
      </c>
      <c r="B420" t="s">
        <v>5</v>
      </c>
      <c r="C420" t="s">
        <v>4</v>
      </c>
      <c r="D420" t="b">
        <v>0</v>
      </c>
      <c r="F420">
        <v>0</v>
      </c>
      <c r="G420">
        <v>1</v>
      </c>
      <c r="H420" t="s">
        <v>506</v>
      </c>
      <c r="I420">
        <v>0</v>
      </c>
    </row>
    <row r="421" spans="1:19" x14ac:dyDescent="0.25">
      <c r="A421" t="s">
        <v>507</v>
      </c>
      <c r="B421" t="s">
        <v>646</v>
      </c>
      <c r="C421" t="s">
        <v>5</v>
      </c>
      <c r="D421" t="b">
        <v>0</v>
      </c>
      <c r="F421">
        <v>0</v>
      </c>
      <c r="G421">
        <v>1</v>
      </c>
      <c r="H421" t="s">
        <v>29</v>
      </c>
      <c r="I421">
        <v>0</v>
      </c>
    </row>
    <row r="422" spans="1:19" x14ac:dyDescent="0.25">
      <c r="A422" t="s">
        <v>508</v>
      </c>
      <c r="B422" t="s">
        <v>507</v>
      </c>
      <c r="C422" t="s">
        <v>646</v>
      </c>
      <c r="D422" t="b">
        <v>0</v>
      </c>
      <c r="F422">
        <v>1</v>
      </c>
      <c r="G422">
        <v>3</v>
      </c>
      <c r="H422" t="s">
        <v>29</v>
      </c>
      <c r="I422">
        <v>0</v>
      </c>
    </row>
    <row r="423" spans="1:19" x14ac:dyDescent="0.25">
      <c r="A423" t="s">
        <v>509</v>
      </c>
      <c r="B423" t="s">
        <v>508</v>
      </c>
      <c r="C423" t="s">
        <v>507</v>
      </c>
      <c r="D423" t="b">
        <v>1</v>
      </c>
      <c r="E423" t="s">
        <v>152</v>
      </c>
      <c r="F423">
        <v>1</v>
      </c>
      <c r="G423">
        <v>1</v>
      </c>
      <c r="H423" t="s">
        <v>510</v>
      </c>
      <c r="I423">
        <v>0</v>
      </c>
    </row>
    <row r="424" spans="1:19" x14ac:dyDescent="0.25">
      <c r="A424" t="s">
        <v>286</v>
      </c>
      <c r="B424" t="s">
        <v>508</v>
      </c>
      <c r="C424" t="s">
        <v>507</v>
      </c>
      <c r="D424" t="b">
        <v>1</v>
      </c>
      <c r="E424" t="s">
        <v>33</v>
      </c>
      <c r="F424">
        <v>0</v>
      </c>
      <c r="G424">
        <v>1</v>
      </c>
      <c r="H424" t="s">
        <v>511</v>
      </c>
      <c r="I424">
        <v>10</v>
      </c>
      <c r="J424" t="s">
        <v>1402</v>
      </c>
      <c r="K424" t="s">
        <v>1403</v>
      </c>
      <c r="L424" t="s">
        <v>1404</v>
      </c>
      <c r="M424" t="s">
        <v>1405</v>
      </c>
      <c r="N424" t="s">
        <v>923</v>
      </c>
      <c r="O424" t="s">
        <v>1406</v>
      </c>
      <c r="P424" t="s">
        <v>1407</v>
      </c>
      <c r="Q424" t="s">
        <v>1408</v>
      </c>
      <c r="R424" t="s">
        <v>1549</v>
      </c>
      <c r="S424" t="s">
        <v>1550</v>
      </c>
    </row>
    <row r="425" spans="1:19" x14ac:dyDescent="0.25">
      <c r="A425" t="s">
        <v>512</v>
      </c>
      <c r="B425" t="s">
        <v>508</v>
      </c>
      <c r="C425" t="s">
        <v>507</v>
      </c>
      <c r="D425" t="b">
        <v>1</v>
      </c>
      <c r="E425" t="s">
        <v>33</v>
      </c>
      <c r="F425">
        <v>0</v>
      </c>
      <c r="G425">
        <v>1</v>
      </c>
      <c r="H425" t="s">
        <v>513</v>
      </c>
      <c r="I425">
        <v>5</v>
      </c>
      <c r="J425" t="s">
        <v>1551</v>
      </c>
      <c r="K425" t="s">
        <v>1552</v>
      </c>
      <c r="L425" t="s">
        <v>1553</v>
      </c>
      <c r="M425" t="s">
        <v>1554</v>
      </c>
      <c r="N425" t="s">
        <v>1555</v>
      </c>
    </row>
    <row r="426" spans="1:19" x14ac:dyDescent="0.25">
      <c r="A426" t="s">
        <v>514</v>
      </c>
      <c r="B426" t="s">
        <v>508</v>
      </c>
      <c r="C426" t="s">
        <v>507</v>
      </c>
      <c r="D426" t="b">
        <v>1</v>
      </c>
      <c r="E426" t="s">
        <v>33</v>
      </c>
      <c r="F426">
        <v>0</v>
      </c>
      <c r="G426">
        <v>1</v>
      </c>
      <c r="H426" t="s">
        <v>515</v>
      </c>
      <c r="I426">
        <v>6</v>
      </c>
      <c r="J426" t="s">
        <v>1556</v>
      </c>
      <c r="K426" t="s">
        <v>1557</v>
      </c>
      <c r="L426" t="s">
        <v>1558</v>
      </c>
      <c r="M426" t="s">
        <v>1465</v>
      </c>
      <c r="N426" t="s">
        <v>1559</v>
      </c>
      <c r="O426" t="s">
        <v>1560</v>
      </c>
    </row>
    <row r="427" spans="1:19" x14ac:dyDescent="0.25">
      <c r="A427" t="s">
        <v>516</v>
      </c>
      <c r="B427" t="s">
        <v>508</v>
      </c>
      <c r="C427" t="s">
        <v>507</v>
      </c>
      <c r="D427" t="b">
        <v>1</v>
      </c>
      <c r="E427" t="s">
        <v>142</v>
      </c>
      <c r="F427">
        <v>0</v>
      </c>
      <c r="G427">
        <v>1</v>
      </c>
      <c r="H427" t="s">
        <v>517</v>
      </c>
      <c r="I427">
        <v>4</v>
      </c>
      <c r="J427" t="s">
        <v>1270</v>
      </c>
      <c r="K427" t="s">
        <v>918</v>
      </c>
      <c r="L427" t="s">
        <v>1271</v>
      </c>
      <c r="M427" t="s">
        <v>919</v>
      </c>
    </row>
    <row r="428" spans="1:19" x14ac:dyDescent="0.25">
      <c r="A428" t="s">
        <v>518</v>
      </c>
      <c r="B428" t="s">
        <v>508</v>
      </c>
      <c r="C428" t="s">
        <v>507</v>
      </c>
      <c r="D428" t="b">
        <v>1</v>
      </c>
      <c r="E428" t="s">
        <v>33</v>
      </c>
      <c r="F428">
        <v>0</v>
      </c>
      <c r="G428">
        <v>1</v>
      </c>
      <c r="H428" t="s">
        <v>519</v>
      </c>
      <c r="I428">
        <v>0</v>
      </c>
    </row>
    <row r="429" spans="1:19" x14ac:dyDescent="0.25">
      <c r="A429" t="s">
        <v>520</v>
      </c>
      <c r="B429" t="s">
        <v>508</v>
      </c>
      <c r="C429" t="s">
        <v>507</v>
      </c>
      <c r="D429" t="b">
        <v>1</v>
      </c>
      <c r="E429" t="s">
        <v>33</v>
      </c>
      <c r="F429">
        <v>0</v>
      </c>
      <c r="G429">
        <v>1</v>
      </c>
      <c r="H429" t="s">
        <v>521</v>
      </c>
      <c r="I429">
        <v>0</v>
      </c>
    </row>
    <row r="430" spans="1:19" x14ac:dyDescent="0.25">
      <c r="A430" t="s">
        <v>522</v>
      </c>
      <c r="B430" t="s">
        <v>508</v>
      </c>
      <c r="C430" t="s">
        <v>507</v>
      </c>
      <c r="D430" t="b">
        <v>1</v>
      </c>
      <c r="E430" t="s">
        <v>152</v>
      </c>
      <c r="F430">
        <v>0</v>
      </c>
      <c r="G430">
        <v>1</v>
      </c>
      <c r="H430" t="s">
        <v>523</v>
      </c>
      <c r="I430">
        <v>0</v>
      </c>
    </row>
    <row r="431" spans="1:19" x14ac:dyDescent="0.25">
      <c r="A431" t="s">
        <v>524</v>
      </c>
      <c r="B431" t="s">
        <v>646</v>
      </c>
      <c r="C431" t="s">
        <v>5</v>
      </c>
      <c r="D431" t="b">
        <v>0</v>
      </c>
      <c r="F431">
        <v>0</v>
      </c>
      <c r="G431">
        <v>1</v>
      </c>
      <c r="H431" t="s">
        <v>29</v>
      </c>
      <c r="I431">
        <v>0</v>
      </c>
    </row>
    <row r="432" spans="1:19" x14ac:dyDescent="0.25">
      <c r="A432" t="s">
        <v>525</v>
      </c>
      <c r="B432" t="s">
        <v>524</v>
      </c>
      <c r="C432" t="s">
        <v>646</v>
      </c>
      <c r="D432" t="b">
        <v>0</v>
      </c>
      <c r="F432">
        <v>1</v>
      </c>
      <c r="G432">
        <v>99</v>
      </c>
      <c r="H432" t="s">
        <v>29</v>
      </c>
      <c r="I432">
        <v>0</v>
      </c>
    </row>
    <row r="433" spans="1:21" x14ac:dyDescent="0.25">
      <c r="A433" t="s">
        <v>526</v>
      </c>
      <c r="B433" t="s">
        <v>525</v>
      </c>
      <c r="C433" t="s">
        <v>524</v>
      </c>
      <c r="D433" t="b">
        <v>1</v>
      </c>
      <c r="E433" t="s">
        <v>33</v>
      </c>
      <c r="F433">
        <v>0</v>
      </c>
      <c r="G433">
        <v>1</v>
      </c>
      <c r="H433" t="s">
        <v>527</v>
      </c>
      <c r="I433">
        <v>0</v>
      </c>
    </row>
    <row r="434" spans="1:21" x14ac:dyDescent="0.25">
      <c r="A434" t="s">
        <v>528</v>
      </c>
      <c r="B434" t="s">
        <v>525</v>
      </c>
      <c r="C434" t="s">
        <v>524</v>
      </c>
      <c r="D434" t="b">
        <v>1</v>
      </c>
      <c r="E434" t="s">
        <v>33</v>
      </c>
      <c r="F434">
        <v>0</v>
      </c>
      <c r="G434">
        <v>1</v>
      </c>
      <c r="H434" t="s">
        <v>529</v>
      </c>
      <c r="I434">
        <v>0</v>
      </c>
    </row>
    <row r="435" spans="1:21" x14ac:dyDescent="0.25">
      <c r="A435" t="s">
        <v>530</v>
      </c>
      <c r="B435" t="s">
        <v>525</v>
      </c>
      <c r="C435" t="s">
        <v>524</v>
      </c>
      <c r="D435" t="b">
        <v>1</v>
      </c>
      <c r="E435" t="s">
        <v>152</v>
      </c>
      <c r="F435">
        <v>1</v>
      </c>
      <c r="G435">
        <v>1</v>
      </c>
      <c r="H435" t="s">
        <v>531</v>
      </c>
      <c r="I435">
        <v>0</v>
      </c>
    </row>
    <row r="436" spans="1:21" x14ac:dyDescent="0.25">
      <c r="A436" t="s">
        <v>532</v>
      </c>
      <c r="B436" t="s">
        <v>525</v>
      </c>
      <c r="C436" t="s">
        <v>524</v>
      </c>
      <c r="D436" t="b">
        <v>1</v>
      </c>
      <c r="E436" t="s">
        <v>152</v>
      </c>
      <c r="F436">
        <v>1</v>
      </c>
      <c r="G436">
        <v>1</v>
      </c>
      <c r="H436" t="s">
        <v>533</v>
      </c>
      <c r="I436">
        <v>0</v>
      </c>
    </row>
    <row r="437" spans="1:21" x14ac:dyDescent="0.25">
      <c r="A437" t="s">
        <v>534</v>
      </c>
      <c r="B437" t="s">
        <v>646</v>
      </c>
      <c r="C437" t="s">
        <v>5</v>
      </c>
      <c r="D437" t="b">
        <v>1</v>
      </c>
      <c r="E437" t="s">
        <v>33</v>
      </c>
      <c r="F437">
        <v>1</v>
      </c>
      <c r="G437">
        <v>1</v>
      </c>
      <c r="H437" t="s">
        <v>535</v>
      </c>
      <c r="I437">
        <v>6</v>
      </c>
      <c r="J437" t="s">
        <v>1561</v>
      </c>
      <c r="K437" t="s">
        <v>1562</v>
      </c>
      <c r="L437" t="s">
        <v>1563</v>
      </c>
      <c r="M437" t="s">
        <v>1564</v>
      </c>
      <c r="N437" t="s">
        <v>1565</v>
      </c>
      <c r="O437" t="s">
        <v>1566</v>
      </c>
    </row>
    <row r="438" spans="1:21" x14ac:dyDescent="0.25">
      <c r="A438" t="s">
        <v>536</v>
      </c>
      <c r="B438" t="s">
        <v>646</v>
      </c>
      <c r="C438" t="s">
        <v>5</v>
      </c>
      <c r="D438" t="b">
        <v>1</v>
      </c>
      <c r="E438" t="s">
        <v>152</v>
      </c>
      <c r="F438">
        <v>0</v>
      </c>
      <c r="G438">
        <v>1</v>
      </c>
      <c r="H438" t="s">
        <v>537</v>
      </c>
      <c r="I438">
        <v>0</v>
      </c>
    </row>
    <row r="439" spans="1:21" x14ac:dyDescent="0.25">
      <c r="A439" t="s">
        <v>538</v>
      </c>
      <c r="B439" t="s">
        <v>646</v>
      </c>
      <c r="C439" t="s">
        <v>5</v>
      </c>
      <c r="D439" t="b">
        <v>1</v>
      </c>
      <c r="E439" t="s">
        <v>33</v>
      </c>
      <c r="F439">
        <v>0</v>
      </c>
      <c r="G439">
        <v>1</v>
      </c>
      <c r="H439" t="s">
        <v>539</v>
      </c>
      <c r="I439">
        <v>0</v>
      </c>
    </row>
    <row r="440" spans="1:21" x14ac:dyDescent="0.25">
      <c r="A440" t="s">
        <v>540</v>
      </c>
      <c r="B440" t="s">
        <v>646</v>
      </c>
      <c r="C440" t="s">
        <v>5</v>
      </c>
      <c r="D440" t="b">
        <v>0</v>
      </c>
      <c r="F440">
        <v>0</v>
      </c>
      <c r="G440">
        <v>1</v>
      </c>
      <c r="H440" t="s">
        <v>541</v>
      </c>
      <c r="I440">
        <v>0</v>
      </c>
    </row>
    <row r="441" spans="1:21" x14ac:dyDescent="0.25">
      <c r="A441" t="s">
        <v>542</v>
      </c>
      <c r="B441" t="s">
        <v>540</v>
      </c>
      <c r="C441" t="s">
        <v>646</v>
      </c>
      <c r="D441" t="b">
        <v>0</v>
      </c>
      <c r="F441">
        <v>12</v>
      </c>
      <c r="G441">
        <v>12</v>
      </c>
      <c r="H441" t="s">
        <v>29</v>
      </c>
      <c r="I441">
        <v>0</v>
      </c>
    </row>
    <row r="442" spans="1:21" x14ac:dyDescent="0.25">
      <c r="A442" t="s">
        <v>543</v>
      </c>
      <c r="B442" t="s">
        <v>542</v>
      </c>
      <c r="C442" t="s">
        <v>540</v>
      </c>
      <c r="D442" t="b">
        <v>1</v>
      </c>
      <c r="E442" t="s">
        <v>33</v>
      </c>
      <c r="F442">
        <v>1</v>
      </c>
      <c r="G442">
        <v>1</v>
      </c>
      <c r="H442" t="s">
        <v>29</v>
      </c>
      <c r="I442">
        <v>12</v>
      </c>
      <c r="J442" t="s">
        <v>1567</v>
      </c>
      <c r="K442" t="s">
        <v>1568</v>
      </c>
      <c r="L442" t="s">
        <v>1569</v>
      </c>
      <c r="M442" t="s">
        <v>1570</v>
      </c>
      <c r="N442" t="s">
        <v>1571</v>
      </c>
      <c r="O442" t="s">
        <v>1572</v>
      </c>
      <c r="P442" t="s">
        <v>1573</v>
      </c>
      <c r="Q442" t="s">
        <v>1574</v>
      </c>
      <c r="R442" t="s">
        <v>1575</v>
      </c>
      <c r="S442" t="s">
        <v>1576</v>
      </c>
      <c r="T442" t="s">
        <v>1577</v>
      </c>
      <c r="U442" t="s">
        <v>1578</v>
      </c>
    </row>
    <row r="443" spans="1:21" x14ac:dyDescent="0.25">
      <c r="A443" t="s">
        <v>544</v>
      </c>
      <c r="B443" t="s">
        <v>542</v>
      </c>
      <c r="C443" t="s">
        <v>540</v>
      </c>
      <c r="D443" t="b">
        <v>1</v>
      </c>
      <c r="E443" t="s">
        <v>152</v>
      </c>
      <c r="F443">
        <v>1</v>
      </c>
      <c r="G443">
        <v>1</v>
      </c>
      <c r="H443" t="s">
        <v>545</v>
      </c>
      <c r="I443">
        <v>0</v>
      </c>
    </row>
    <row r="444" spans="1:21" x14ac:dyDescent="0.25">
      <c r="A444" t="s">
        <v>546</v>
      </c>
      <c r="B444" t="s">
        <v>646</v>
      </c>
      <c r="C444" t="s">
        <v>5</v>
      </c>
      <c r="D444" t="b">
        <v>1</v>
      </c>
      <c r="E444" t="s">
        <v>142</v>
      </c>
      <c r="F444">
        <v>0</v>
      </c>
      <c r="G444">
        <v>1</v>
      </c>
      <c r="H444" t="s">
        <v>547</v>
      </c>
      <c r="I444">
        <v>4</v>
      </c>
      <c r="J444" t="s">
        <v>1270</v>
      </c>
      <c r="K444" t="s">
        <v>918</v>
      </c>
      <c r="L444" t="s">
        <v>1271</v>
      </c>
      <c r="M444" t="s">
        <v>919</v>
      </c>
    </row>
    <row r="445" spans="1:21" x14ac:dyDescent="0.25">
      <c r="A445" t="s">
        <v>9</v>
      </c>
      <c r="B445" t="s">
        <v>5</v>
      </c>
      <c r="C445" t="s">
        <v>4</v>
      </c>
      <c r="D445" t="b">
        <v>0</v>
      </c>
      <c r="F445">
        <v>1</v>
      </c>
      <c r="G445">
        <v>1</v>
      </c>
      <c r="H445" t="s">
        <v>647</v>
      </c>
      <c r="I445">
        <v>0</v>
      </c>
    </row>
    <row r="446" spans="1:21" x14ac:dyDescent="0.25">
      <c r="A446" t="s">
        <v>10</v>
      </c>
      <c r="B446" t="s">
        <v>9</v>
      </c>
      <c r="C446" t="s">
        <v>5</v>
      </c>
      <c r="D446" t="b">
        <v>0</v>
      </c>
      <c r="F446">
        <v>1</v>
      </c>
      <c r="G446" t="s">
        <v>125</v>
      </c>
      <c r="H446" t="s">
        <v>648</v>
      </c>
      <c r="I446">
        <v>0</v>
      </c>
    </row>
    <row r="447" spans="1:21" x14ac:dyDescent="0.25">
      <c r="A447" t="s">
        <v>11</v>
      </c>
      <c r="B447" t="s">
        <v>10</v>
      </c>
      <c r="C447" t="s">
        <v>9</v>
      </c>
      <c r="D447" t="b">
        <v>1</v>
      </c>
      <c r="E447" t="s">
        <v>42</v>
      </c>
      <c r="F447">
        <v>1</v>
      </c>
      <c r="G447">
        <v>1</v>
      </c>
      <c r="H447" t="s">
        <v>649</v>
      </c>
      <c r="I447">
        <v>0</v>
      </c>
    </row>
    <row r="448" spans="1:21" x14ac:dyDescent="0.25">
      <c r="A448" t="s">
        <v>650</v>
      </c>
      <c r="B448" t="s">
        <v>10</v>
      </c>
      <c r="C448" t="s">
        <v>9</v>
      </c>
      <c r="D448" t="b">
        <v>1</v>
      </c>
      <c r="E448" t="s">
        <v>33</v>
      </c>
      <c r="F448">
        <v>0</v>
      </c>
      <c r="G448">
        <v>1</v>
      </c>
      <c r="H448" t="s">
        <v>651</v>
      </c>
      <c r="I448">
        <v>0</v>
      </c>
    </row>
    <row r="449" spans="1:21" x14ac:dyDescent="0.25">
      <c r="A449" t="s">
        <v>652</v>
      </c>
      <c r="B449" t="s">
        <v>10</v>
      </c>
      <c r="C449" t="s">
        <v>9</v>
      </c>
      <c r="D449" t="b">
        <v>1</v>
      </c>
      <c r="E449" t="s">
        <v>42</v>
      </c>
      <c r="F449">
        <v>0</v>
      </c>
      <c r="G449">
        <v>1</v>
      </c>
      <c r="H449" t="s">
        <v>653</v>
      </c>
      <c r="I449">
        <v>0</v>
      </c>
    </row>
    <row r="450" spans="1:21" x14ac:dyDescent="0.25">
      <c r="A450" t="s">
        <v>654</v>
      </c>
      <c r="B450" t="s">
        <v>10</v>
      </c>
      <c r="C450" t="s">
        <v>9</v>
      </c>
      <c r="D450" t="b">
        <v>1</v>
      </c>
      <c r="E450" t="s">
        <v>33</v>
      </c>
      <c r="F450">
        <v>0</v>
      </c>
      <c r="G450">
        <v>1</v>
      </c>
      <c r="H450" t="s">
        <v>655</v>
      </c>
      <c r="I450">
        <v>12</v>
      </c>
      <c r="J450" t="s">
        <v>1608</v>
      </c>
      <c r="K450" t="s">
        <v>1609</v>
      </c>
      <c r="L450" t="s">
        <v>1610</v>
      </c>
      <c r="M450" t="s">
        <v>1611</v>
      </c>
      <c r="N450" t="s">
        <v>1612</v>
      </c>
      <c r="O450" t="s">
        <v>1613</v>
      </c>
      <c r="P450" t="s">
        <v>1614</v>
      </c>
      <c r="Q450" t="s">
        <v>1615</v>
      </c>
      <c r="R450" t="s">
        <v>1616</v>
      </c>
      <c r="S450" t="s">
        <v>1617</v>
      </c>
      <c r="T450" t="s">
        <v>1618</v>
      </c>
      <c r="U450" t="s">
        <v>1619</v>
      </c>
    </row>
    <row r="451" spans="1:21" x14ac:dyDescent="0.25">
      <c r="A451" t="s">
        <v>656</v>
      </c>
      <c r="B451" t="s">
        <v>10</v>
      </c>
      <c r="C451" t="s">
        <v>9</v>
      </c>
      <c r="D451" t="b">
        <v>0</v>
      </c>
      <c r="F451">
        <v>0</v>
      </c>
      <c r="G451">
        <v>1</v>
      </c>
      <c r="H451" t="s">
        <v>657</v>
      </c>
      <c r="I451">
        <v>0</v>
      </c>
    </row>
    <row r="452" spans="1:21" x14ac:dyDescent="0.25">
      <c r="A452" t="s">
        <v>658</v>
      </c>
      <c r="B452" t="s">
        <v>656</v>
      </c>
      <c r="C452" t="s">
        <v>10</v>
      </c>
      <c r="D452" t="b">
        <v>0</v>
      </c>
      <c r="F452">
        <v>1</v>
      </c>
      <c r="G452" t="s">
        <v>125</v>
      </c>
      <c r="H452" t="s">
        <v>659</v>
      </c>
      <c r="I452">
        <v>0</v>
      </c>
    </row>
    <row r="453" spans="1:21" x14ac:dyDescent="0.25">
      <c r="A453" t="s">
        <v>1</v>
      </c>
      <c r="B453" t="s">
        <v>658</v>
      </c>
      <c r="C453" t="s">
        <v>656</v>
      </c>
      <c r="D453" t="b">
        <v>1</v>
      </c>
      <c r="E453" t="s">
        <v>33</v>
      </c>
      <c r="F453">
        <v>1</v>
      </c>
      <c r="G453">
        <v>1</v>
      </c>
      <c r="H453" t="s">
        <v>660</v>
      </c>
      <c r="I453">
        <v>0</v>
      </c>
    </row>
    <row r="454" spans="1:21" x14ac:dyDescent="0.25">
      <c r="A454" t="s">
        <v>661</v>
      </c>
      <c r="B454" t="s">
        <v>658</v>
      </c>
      <c r="C454" t="s">
        <v>656</v>
      </c>
      <c r="D454" t="b">
        <v>1</v>
      </c>
      <c r="E454" t="s">
        <v>33</v>
      </c>
      <c r="F454">
        <v>1</v>
      </c>
      <c r="G454">
        <v>1</v>
      </c>
      <c r="H454" t="s">
        <v>662</v>
      </c>
      <c r="I454">
        <v>0</v>
      </c>
    </row>
    <row r="455" spans="1:21" x14ac:dyDescent="0.25">
      <c r="A455" t="s">
        <v>663</v>
      </c>
      <c r="B455" t="s">
        <v>658</v>
      </c>
      <c r="C455" t="s">
        <v>656</v>
      </c>
      <c r="D455" t="b">
        <v>1</v>
      </c>
      <c r="E455" t="s">
        <v>33</v>
      </c>
      <c r="F455">
        <v>1</v>
      </c>
      <c r="G455">
        <v>1</v>
      </c>
      <c r="H455" t="s">
        <v>664</v>
      </c>
      <c r="I455">
        <v>0</v>
      </c>
    </row>
    <row r="456" spans="1:21" x14ac:dyDescent="0.25">
      <c r="A456" t="s">
        <v>286</v>
      </c>
      <c r="B456" t="s">
        <v>658</v>
      </c>
      <c r="C456" t="s">
        <v>656</v>
      </c>
      <c r="D456" t="b">
        <v>1</v>
      </c>
      <c r="E456" t="s">
        <v>33</v>
      </c>
      <c r="F456">
        <v>1</v>
      </c>
      <c r="G456">
        <v>1</v>
      </c>
      <c r="H456" t="s">
        <v>665</v>
      </c>
      <c r="I456">
        <v>10</v>
      </c>
      <c r="J456" t="s">
        <v>1401</v>
      </c>
      <c r="K456" t="s">
        <v>1402</v>
      </c>
      <c r="L456" t="s">
        <v>1403</v>
      </c>
      <c r="M456" t="s">
        <v>1404</v>
      </c>
      <c r="N456" t="s">
        <v>1405</v>
      </c>
      <c r="O456" t="s">
        <v>923</v>
      </c>
      <c r="P456" t="s">
        <v>1406</v>
      </c>
      <c r="Q456" t="s">
        <v>1407</v>
      </c>
      <c r="R456" t="s">
        <v>1408</v>
      </c>
      <c r="S456" t="s">
        <v>1409</v>
      </c>
    </row>
    <row r="457" spans="1:21" x14ac:dyDescent="0.25">
      <c r="A457" t="s">
        <v>666</v>
      </c>
      <c r="B457" t="s">
        <v>658</v>
      </c>
      <c r="C457" t="s">
        <v>656</v>
      </c>
      <c r="D457" t="b">
        <v>1</v>
      </c>
      <c r="E457" t="s">
        <v>152</v>
      </c>
      <c r="F457">
        <v>1</v>
      </c>
      <c r="G457">
        <v>1</v>
      </c>
      <c r="H457" t="s">
        <v>667</v>
      </c>
      <c r="I457">
        <v>0</v>
      </c>
    </row>
    <row r="458" spans="1:21" x14ac:dyDescent="0.25">
      <c r="A458" t="s">
        <v>668</v>
      </c>
      <c r="B458" t="s">
        <v>658</v>
      </c>
      <c r="C458" t="s">
        <v>656</v>
      </c>
      <c r="D458" t="b">
        <v>1</v>
      </c>
      <c r="E458" t="s">
        <v>152</v>
      </c>
      <c r="F458">
        <v>1</v>
      </c>
      <c r="G458">
        <v>1</v>
      </c>
      <c r="H458" t="s">
        <v>669</v>
      </c>
      <c r="I458">
        <v>0</v>
      </c>
    </row>
    <row r="459" spans="1:21" x14ac:dyDescent="0.25">
      <c r="A459" t="s">
        <v>512</v>
      </c>
      <c r="B459" t="s">
        <v>658</v>
      </c>
      <c r="C459" t="s">
        <v>656</v>
      </c>
      <c r="D459" t="b">
        <v>1</v>
      </c>
      <c r="E459" t="s">
        <v>42</v>
      </c>
      <c r="F459">
        <v>0</v>
      </c>
      <c r="G459">
        <v>1</v>
      </c>
      <c r="H459" t="s">
        <v>670</v>
      </c>
      <c r="I459">
        <v>0</v>
      </c>
    </row>
    <row r="460" spans="1:21" x14ac:dyDescent="0.25">
      <c r="A460" t="s">
        <v>671</v>
      </c>
      <c r="B460" t="s">
        <v>10</v>
      </c>
      <c r="C460" t="s">
        <v>9</v>
      </c>
      <c r="D460" t="b">
        <v>0</v>
      </c>
      <c r="F460">
        <v>0</v>
      </c>
      <c r="G460">
        <v>1</v>
      </c>
      <c r="H460" t="s">
        <v>672</v>
      </c>
      <c r="I460">
        <v>0</v>
      </c>
    </row>
    <row r="461" spans="1:21" x14ac:dyDescent="0.25">
      <c r="A461" t="s">
        <v>673</v>
      </c>
      <c r="B461" t="s">
        <v>671</v>
      </c>
      <c r="C461" t="s">
        <v>10</v>
      </c>
      <c r="D461" t="b">
        <v>0</v>
      </c>
      <c r="F461">
        <v>1</v>
      </c>
      <c r="G461" t="s">
        <v>125</v>
      </c>
      <c r="H461" t="s">
        <v>674</v>
      </c>
      <c r="I461">
        <v>0</v>
      </c>
    </row>
    <row r="462" spans="1:21" x14ac:dyDescent="0.25">
      <c r="A462" t="s">
        <v>1</v>
      </c>
      <c r="B462" t="s">
        <v>673</v>
      </c>
      <c r="C462" t="s">
        <v>671</v>
      </c>
      <c r="D462" t="b">
        <v>1</v>
      </c>
      <c r="E462" t="s">
        <v>33</v>
      </c>
      <c r="F462">
        <v>1</v>
      </c>
      <c r="G462">
        <v>1</v>
      </c>
      <c r="H462" t="s">
        <v>675</v>
      </c>
      <c r="I462">
        <v>0</v>
      </c>
    </row>
    <row r="463" spans="1:21" x14ac:dyDescent="0.25">
      <c r="A463" t="s">
        <v>126</v>
      </c>
      <c r="B463" t="s">
        <v>673</v>
      </c>
      <c r="C463" t="s">
        <v>671</v>
      </c>
      <c r="D463" t="b">
        <v>1</v>
      </c>
      <c r="E463" t="s">
        <v>33</v>
      </c>
      <c r="F463">
        <v>0</v>
      </c>
      <c r="G463">
        <v>1</v>
      </c>
      <c r="H463" t="s">
        <v>676</v>
      </c>
      <c r="I463">
        <v>0</v>
      </c>
    </row>
    <row r="464" spans="1:21" x14ac:dyDescent="0.25">
      <c r="A464" t="s">
        <v>677</v>
      </c>
      <c r="B464" t="s">
        <v>673</v>
      </c>
      <c r="C464" t="s">
        <v>671</v>
      </c>
      <c r="D464" t="b">
        <v>1</v>
      </c>
      <c r="E464" t="s">
        <v>33</v>
      </c>
      <c r="F464">
        <v>1</v>
      </c>
      <c r="G464">
        <v>1</v>
      </c>
      <c r="H464" t="s">
        <v>29</v>
      </c>
      <c r="I464">
        <v>2</v>
      </c>
      <c r="J464" t="s">
        <v>922</v>
      </c>
      <c r="K464" t="s">
        <v>1620</v>
      </c>
    </row>
    <row r="465" spans="1:18" x14ac:dyDescent="0.25">
      <c r="A465" t="s">
        <v>678</v>
      </c>
      <c r="B465" t="s">
        <v>673</v>
      </c>
      <c r="C465" t="s">
        <v>671</v>
      </c>
      <c r="D465" t="b">
        <v>1</v>
      </c>
      <c r="E465" t="s">
        <v>152</v>
      </c>
      <c r="F465">
        <v>1</v>
      </c>
      <c r="G465">
        <v>1</v>
      </c>
      <c r="H465" t="s">
        <v>679</v>
      </c>
      <c r="I465">
        <v>0</v>
      </c>
    </row>
    <row r="466" spans="1:18" x14ac:dyDescent="0.25">
      <c r="A466" t="s">
        <v>680</v>
      </c>
      <c r="B466" t="s">
        <v>673</v>
      </c>
      <c r="C466" t="s">
        <v>671</v>
      </c>
      <c r="D466" t="b">
        <v>1</v>
      </c>
      <c r="E466" t="s">
        <v>152</v>
      </c>
      <c r="F466">
        <v>1</v>
      </c>
      <c r="G466">
        <v>1</v>
      </c>
      <c r="H466" t="s">
        <v>681</v>
      </c>
      <c r="I466">
        <v>0</v>
      </c>
    </row>
    <row r="467" spans="1:18" x14ac:dyDescent="0.25">
      <c r="A467" t="s">
        <v>682</v>
      </c>
      <c r="B467" t="s">
        <v>673</v>
      </c>
      <c r="C467" t="s">
        <v>671</v>
      </c>
      <c r="D467" t="b">
        <v>1</v>
      </c>
      <c r="E467" t="s">
        <v>152</v>
      </c>
      <c r="F467">
        <v>0</v>
      </c>
      <c r="G467">
        <v>1</v>
      </c>
      <c r="H467" t="s">
        <v>683</v>
      </c>
      <c r="I467">
        <v>0</v>
      </c>
    </row>
    <row r="468" spans="1:18" x14ac:dyDescent="0.25">
      <c r="A468" t="s">
        <v>12</v>
      </c>
      <c r="B468" t="s">
        <v>10</v>
      </c>
      <c r="C468" t="s">
        <v>9</v>
      </c>
      <c r="D468" t="b">
        <v>0</v>
      </c>
      <c r="F468">
        <v>0</v>
      </c>
      <c r="G468">
        <v>1</v>
      </c>
      <c r="H468" t="s">
        <v>684</v>
      </c>
      <c r="I468">
        <v>0</v>
      </c>
    </row>
    <row r="469" spans="1:18" x14ac:dyDescent="0.25">
      <c r="A469" t="s">
        <v>13</v>
      </c>
      <c r="B469" t="s">
        <v>12</v>
      </c>
      <c r="C469" t="s">
        <v>10</v>
      </c>
      <c r="D469" t="b">
        <v>0</v>
      </c>
      <c r="F469">
        <v>1</v>
      </c>
      <c r="G469" t="s">
        <v>125</v>
      </c>
      <c r="H469" t="s">
        <v>685</v>
      </c>
      <c r="I469">
        <v>0</v>
      </c>
    </row>
    <row r="470" spans="1:18" x14ac:dyDescent="0.25">
      <c r="A470" t="s">
        <v>1</v>
      </c>
      <c r="B470" t="s">
        <v>13</v>
      </c>
      <c r="C470" t="s">
        <v>12</v>
      </c>
      <c r="D470" t="b">
        <v>1</v>
      </c>
      <c r="E470" t="s">
        <v>33</v>
      </c>
      <c r="F470">
        <v>0</v>
      </c>
      <c r="G470">
        <v>1</v>
      </c>
      <c r="H470" t="s">
        <v>686</v>
      </c>
      <c r="I470">
        <v>0</v>
      </c>
    </row>
    <row r="471" spans="1:18" x14ac:dyDescent="0.25">
      <c r="A471" t="s">
        <v>15</v>
      </c>
      <c r="B471" t="s">
        <v>13</v>
      </c>
      <c r="C471" t="s">
        <v>12</v>
      </c>
      <c r="D471" t="b">
        <v>1</v>
      </c>
      <c r="E471" t="s">
        <v>33</v>
      </c>
      <c r="F471">
        <v>1</v>
      </c>
      <c r="G471">
        <v>1</v>
      </c>
      <c r="H471" t="s">
        <v>687</v>
      </c>
      <c r="I471" s="9">
        <v>9</v>
      </c>
      <c r="J471" t="s">
        <v>1621</v>
      </c>
      <c r="K471" t="s">
        <v>912</v>
      </c>
      <c r="L471" t="s">
        <v>1622</v>
      </c>
      <c r="M471" t="s">
        <v>1623</v>
      </c>
      <c r="N471" t="s">
        <v>1624</v>
      </c>
      <c r="O471" t="s">
        <v>1625</v>
      </c>
      <c r="P471" t="s">
        <v>1626</v>
      </c>
      <c r="Q471" t="s">
        <v>1627</v>
      </c>
      <c r="R471" t="s">
        <v>1628</v>
      </c>
    </row>
    <row r="472" spans="1:18" x14ac:dyDescent="0.25">
      <c r="A472" t="s">
        <v>126</v>
      </c>
      <c r="B472" t="s">
        <v>13</v>
      </c>
      <c r="C472" t="s">
        <v>12</v>
      </c>
      <c r="D472" t="b">
        <v>1</v>
      </c>
      <c r="E472" t="s">
        <v>33</v>
      </c>
      <c r="F472">
        <v>0</v>
      </c>
      <c r="G472">
        <v>1</v>
      </c>
      <c r="H472" t="s">
        <v>688</v>
      </c>
      <c r="I472">
        <v>0</v>
      </c>
    </row>
    <row r="473" spans="1:18" x14ac:dyDescent="0.25">
      <c r="A473" t="s">
        <v>14</v>
      </c>
      <c r="B473" t="s">
        <v>13</v>
      </c>
      <c r="C473" t="s">
        <v>12</v>
      </c>
      <c r="D473" t="b">
        <v>1</v>
      </c>
      <c r="E473" t="s">
        <v>33</v>
      </c>
      <c r="F473">
        <v>1</v>
      </c>
      <c r="G473">
        <v>1</v>
      </c>
      <c r="H473" t="s">
        <v>689</v>
      </c>
      <c r="I473">
        <v>4</v>
      </c>
      <c r="J473" t="s">
        <v>1629</v>
      </c>
      <c r="K473" t="s">
        <v>911</v>
      </c>
      <c r="L473" t="s">
        <v>1630</v>
      </c>
      <c r="M473" t="s">
        <v>1631</v>
      </c>
    </row>
    <row r="474" spans="1:18" x14ac:dyDescent="0.25">
      <c r="A474" t="s">
        <v>16</v>
      </c>
      <c r="B474" t="s">
        <v>13</v>
      </c>
      <c r="C474" t="s">
        <v>12</v>
      </c>
      <c r="D474" t="b">
        <v>1</v>
      </c>
      <c r="E474" t="s">
        <v>152</v>
      </c>
      <c r="F474">
        <v>1</v>
      </c>
      <c r="G474">
        <v>1</v>
      </c>
      <c r="H474" t="s">
        <v>690</v>
      </c>
      <c r="I474">
        <v>0</v>
      </c>
    </row>
    <row r="475" spans="1:18" x14ac:dyDescent="0.25">
      <c r="A475" t="s">
        <v>17</v>
      </c>
      <c r="B475" t="s">
        <v>13</v>
      </c>
      <c r="C475" t="s">
        <v>12</v>
      </c>
      <c r="D475" t="b">
        <v>1</v>
      </c>
      <c r="E475" t="s">
        <v>152</v>
      </c>
      <c r="F475">
        <v>1</v>
      </c>
      <c r="G475">
        <v>1</v>
      </c>
      <c r="H475" t="s">
        <v>691</v>
      </c>
      <c r="I475">
        <v>0</v>
      </c>
    </row>
    <row r="476" spans="1:18" x14ac:dyDescent="0.25">
      <c r="A476" t="s">
        <v>18</v>
      </c>
      <c r="B476" t="s">
        <v>13</v>
      </c>
      <c r="C476" t="s">
        <v>12</v>
      </c>
      <c r="D476" t="b">
        <v>1</v>
      </c>
      <c r="E476" t="s">
        <v>152</v>
      </c>
      <c r="F476">
        <v>1</v>
      </c>
      <c r="G476">
        <v>1</v>
      </c>
      <c r="H476" t="s">
        <v>692</v>
      </c>
      <c r="I476">
        <v>0</v>
      </c>
    </row>
    <row r="477" spans="1:18" x14ac:dyDescent="0.25">
      <c r="A477" t="s">
        <v>680</v>
      </c>
      <c r="B477" t="s">
        <v>13</v>
      </c>
      <c r="C477" t="s">
        <v>12</v>
      </c>
      <c r="D477" t="b">
        <v>1</v>
      </c>
      <c r="E477" t="s">
        <v>152</v>
      </c>
      <c r="F477">
        <v>1</v>
      </c>
      <c r="G477">
        <v>1</v>
      </c>
      <c r="H477" t="s">
        <v>693</v>
      </c>
      <c r="I477">
        <v>0</v>
      </c>
    </row>
    <row r="478" spans="1:18" x14ac:dyDescent="0.25">
      <c r="A478" t="s">
        <v>682</v>
      </c>
      <c r="B478" t="s">
        <v>13</v>
      </c>
      <c r="C478" t="s">
        <v>12</v>
      </c>
      <c r="D478" t="b">
        <v>1</v>
      </c>
      <c r="E478" t="s">
        <v>152</v>
      </c>
      <c r="F478">
        <v>0</v>
      </c>
      <c r="G478">
        <v>1</v>
      </c>
      <c r="H478" t="s">
        <v>694</v>
      </c>
      <c r="I478">
        <v>0</v>
      </c>
    </row>
    <row r="479" spans="1:18" x14ac:dyDescent="0.25">
      <c r="A479" t="s">
        <v>695</v>
      </c>
      <c r="B479" t="s">
        <v>13</v>
      </c>
      <c r="C479" t="s">
        <v>12</v>
      </c>
      <c r="D479" t="b">
        <v>1</v>
      </c>
      <c r="E479" t="s">
        <v>152</v>
      </c>
      <c r="F479">
        <v>0</v>
      </c>
      <c r="G479">
        <v>1</v>
      </c>
      <c r="H479" t="s">
        <v>696</v>
      </c>
      <c r="I479">
        <v>0</v>
      </c>
    </row>
    <row r="480" spans="1:18" x14ac:dyDescent="0.25">
      <c r="A480" t="s">
        <v>697</v>
      </c>
      <c r="B480" t="s">
        <v>10</v>
      </c>
      <c r="C480" t="s">
        <v>9</v>
      </c>
      <c r="D480" t="b">
        <v>0</v>
      </c>
      <c r="F480">
        <v>0</v>
      </c>
      <c r="G480">
        <v>1</v>
      </c>
      <c r="H480" t="s">
        <v>698</v>
      </c>
      <c r="I480">
        <v>0</v>
      </c>
    </row>
    <row r="481" spans="1:56" x14ac:dyDescent="0.25">
      <c r="A481" t="s">
        <v>699</v>
      </c>
      <c r="B481" t="s">
        <v>697</v>
      </c>
      <c r="C481" t="s">
        <v>10</v>
      </c>
      <c r="D481" t="b">
        <v>1</v>
      </c>
      <c r="E481" t="s">
        <v>33</v>
      </c>
      <c r="F481">
        <v>1</v>
      </c>
      <c r="G481">
        <v>1</v>
      </c>
      <c r="H481" t="s">
        <v>700</v>
      </c>
      <c r="I481">
        <v>5</v>
      </c>
      <c r="J481" t="s">
        <v>924</v>
      </c>
      <c r="K481" t="s">
        <v>1632</v>
      </c>
      <c r="L481" t="s">
        <v>1633</v>
      </c>
      <c r="M481" t="s">
        <v>1634</v>
      </c>
      <c r="N481" t="s">
        <v>1635</v>
      </c>
    </row>
    <row r="482" spans="1:56" x14ac:dyDescent="0.25">
      <c r="A482" t="s">
        <v>701</v>
      </c>
      <c r="B482" t="s">
        <v>697</v>
      </c>
      <c r="C482" t="s">
        <v>10</v>
      </c>
      <c r="D482" t="b">
        <v>1</v>
      </c>
      <c r="E482" t="s">
        <v>152</v>
      </c>
      <c r="F482">
        <v>0</v>
      </c>
      <c r="G482">
        <v>1</v>
      </c>
      <c r="H482" t="s">
        <v>702</v>
      </c>
      <c r="I482">
        <v>0</v>
      </c>
    </row>
    <row r="483" spans="1:56" x14ac:dyDescent="0.25">
      <c r="A483" t="s">
        <v>703</v>
      </c>
      <c r="B483" t="s">
        <v>697</v>
      </c>
      <c r="C483" t="s">
        <v>10</v>
      </c>
      <c r="D483" t="b">
        <v>1</v>
      </c>
      <c r="E483" t="s">
        <v>33</v>
      </c>
      <c r="F483">
        <v>0</v>
      </c>
      <c r="G483">
        <v>1</v>
      </c>
      <c r="H483" t="s">
        <v>704</v>
      </c>
      <c r="I483">
        <v>0</v>
      </c>
    </row>
    <row r="484" spans="1:56" x14ac:dyDescent="0.25">
      <c r="A484" t="s">
        <v>705</v>
      </c>
      <c r="B484" t="s">
        <v>697</v>
      </c>
      <c r="C484" t="s">
        <v>10</v>
      </c>
      <c r="D484" t="b">
        <v>0</v>
      </c>
      <c r="F484">
        <v>0</v>
      </c>
      <c r="G484" t="s">
        <v>125</v>
      </c>
      <c r="H484" t="s">
        <v>706</v>
      </c>
      <c r="I484">
        <v>0</v>
      </c>
    </row>
    <row r="485" spans="1:56" x14ac:dyDescent="0.25">
      <c r="A485" t="s">
        <v>707</v>
      </c>
      <c r="B485" t="s">
        <v>705</v>
      </c>
      <c r="C485" t="s">
        <v>697</v>
      </c>
      <c r="D485" t="b">
        <v>1</v>
      </c>
      <c r="E485" t="s">
        <v>33</v>
      </c>
      <c r="F485">
        <v>1</v>
      </c>
      <c r="G485">
        <v>1</v>
      </c>
      <c r="H485" t="s">
        <v>708</v>
      </c>
      <c r="I485">
        <v>47</v>
      </c>
      <c r="J485" t="s">
        <v>1636</v>
      </c>
      <c r="K485" t="s">
        <v>1637</v>
      </c>
      <c r="L485" t="s">
        <v>1638</v>
      </c>
      <c r="M485" t="s">
        <v>1639</v>
      </c>
      <c r="N485" t="s">
        <v>1640</v>
      </c>
      <c r="O485" t="s">
        <v>1641</v>
      </c>
      <c r="P485" t="s">
        <v>1642</v>
      </c>
      <c r="Q485" t="s">
        <v>1643</v>
      </c>
      <c r="R485" t="s">
        <v>1644</v>
      </c>
      <c r="S485" t="s">
        <v>1645</v>
      </c>
      <c r="T485" t="s">
        <v>1646</v>
      </c>
      <c r="U485" t="s">
        <v>1647</v>
      </c>
      <c r="V485" t="s">
        <v>1648</v>
      </c>
      <c r="W485" t="s">
        <v>1649</v>
      </c>
      <c r="X485" t="s">
        <v>1650</v>
      </c>
      <c r="Y485" t="s">
        <v>1651</v>
      </c>
      <c r="Z485" t="s">
        <v>1652</v>
      </c>
      <c r="AA485" t="s">
        <v>1653</v>
      </c>
      <c r="AB485" t="s">
        <v>1654</v>
      </c>
      <c r="AC485" t="s">
        <v>1655</v>
      </c>
      <c r="AD485" t="s">
        <v>1656</v>
      </c>
      <c r="AE485" t="s">
        <v>1657</v>
      </c>
      <c r="AF485" t="s">
        <v>1658</v>
      </c>
      <c r="AG485" t="s">
        <v>1659</v>
      </c>
      <c r="AH485" t="s">
        <v>1660</v>
      </c>
      <c r="AI485" t="s">
        <v>1661</v>
      </c>
      <c r="AJ485" t="s">
        <v>1662</v>
      </c>
      <c r="AK485" t="s">
        <v>1663</v>
      </c>
      <c r="AL485" t="s">
        <v>1664</v>
      </c>
      <c r="AM485" t="s">
        <v>1665</v>
      </c>
      <c r="AN485" t="s">
        <v>1666</v>
      </c>
      <c r="AO485" t="s">
        <v>1667</v>
      </c>
      <c r="AP485" t="s">
        <v>1668</v>
      </c>
      <c r="AQ485" t="s">
        <v>1669</v>
      </c>
      <c r="AR485" t="s">
        <v>1670</v>
      </c>
      <c r="AS485" t="s">
        <v>1671</v>
      </c>
      <c r="AT485" t="s">
        <v>1672</v>
      </c>
      <c r="AU485" t="s">
        <v>1673</v>
      </c>
      <c r="AV485" t="s">
        <v>1674</v>
      </c>
      <c r="AW485" t="s">
        <v>1675</v>
      </c>
      <c r="AX485" t="s">
        <v>1676</v>
      </c>
      <c r="AY485" t="s">
        <v>1677</v>
      </c>
      <c r="AZ485" t="s">
        <v>1678</v>
      </c>
      <c r="BA485" t="s">
        <v>1679</v>
      </c>
      <c r="BB485" t="s">
        <v>1680</v>
      </c>
      <c r="BC485" t="s">
        <v>1681</v>
      </c>
      <c r="BD485" t="s">
        <v>1682</v>
      </c>
    </row>
    <row r="486" spans="1:56" x14ac:dyDescent="0.25">
      <c r="A486" t="s">
        <v>709</v>
      </c>
      <c r="B486" t="s">
        <v>705</v>
      </c>
      <c r="C486" t="s">
        <v>697</v>
      </c>
      <c r="D486" t="b">
        <v>1</v>
      </c>
      <c r="E486" t="s">
        <v>152</v>
      </c>
      <c r="F486">
        <v>1</v>
      </c>
      <c r="G486">
        <v>1</v>
      </c>
      <c r="H486" t="s">
        <v>710</v>
      </c>
      <c r="I486">
        <v>0</v>
      </c>
    </row>
    <row r="487" spans="1:56" x14ac:dyDescent="0.25">
      <c r="A487" t="s">
        <v>711</v>
      </c>
      <c r="B487" t="s">
        <v>705</v>
      </c>
      <c r="C487" t="s">
        <v>697</v>
      </c>
      <c r="D487" t="b">
        <v>1</v>
      </c>
      <c r="E487" t="s">
        <v>152</v>
      </c>
      <c r="F487">
        <v>1</v>
      </c>
      <c r="G487">
        <v>1</v>
      </c>
      <c r="H487" t="s">
        <v>712</v>
      </c>
      <c r="I487">
        <v>0</v>
      </c>
    </row>
    <row r="488" spans="1:56" x14ac:dyDescent="0.25">
      <c r="A488" t="s">
        <v>713</v>
      </c>
      <c r="B488" t="s">
        <v>705</v>
      </c>
      <c r="C488" t="s">
        <v>697</v>
      </c>
      <c r="D488" t="b">
        <v>1</v>
      </c>
      <c r="E488" t="s">
        <v>33</v>
      </c>
      <c r="F488">
        <v>1</v>
      </c>
      <c r="G488">
        <v>1</v>
      </c>
      <c r="H488" t="s">
        <v>29</v>
      </c>
      <c r="I488">
        <v>4</v>
      </c>
      <c r="J488" t="s">
        <v>1683</v>
      </c>
      <c r="K488" t="s">
        <v>1684</v>
      </c>
      <c r="L488" t="s">
        <v>1685</v>
      </c>
      <c r="M488" t="s">
        <v>1686</v>
      </c>
    </row>
    <row r="489" spans="1:56" x14ac:dyDescent="0.25">
      <c r="A489" t="s">
        <v>714</v>
      </c>
      <c r="B489" t="s">
        <v>705</v>
      </c>
      <c r="C489" t="s">
        <v>697</v>
      </c>
      <c r="D489" t="b">
        <v>1</v>
      </c>
      <c r="E489" t="s">
        <v>33</v>
      </c>
      <c r="F489">
        <v>0</v>
      </c>
      <c r="G489">
        <v>1</v>
      </c>
      <c r="H489" t="s">
        <v>715</v>
      </c>
      <c r="I489">
        <v>0</v>
      </c>
    </row>
    <row r="490" spans="1:56" x14ac:dyDescent="0.25">
      <c r="A490" t="s">
        <v>19</v>
      </c>
      <c r="B490" t="s">
        <v>10</v>
      </c>
      <c r="C490" t="s">
        <v>9</v>
      </c>
      <c r="D490" t="b">
        <v>0</v>
      </c>
      <c r="F490">
        <v>0</v>
      </c>
      <c r="G490">
        <v>1</v>
      </c>
      <c r="H490" t="s">
        <v>716</v>
      </c>
      <c r="I490">
        <v>0</v>
      </c>
    </row>
    <row r="491" spans="1:56" x14ac:dyDescent="0.25">
      <c r="A491" t="s">
        <v>20</v>
      </c>
      <c r="B491" t="s">
        <v>19</v>
      </c>
      <c r="C491" t="s">
        <v>10</v>
      </c>
      <c r="D491" t="b">
        <v>0</v>
      </c>
      <c r="F491">
        <v>1</v>
      </c>
      <c r="G491" t="s">
        <v>125</v>
      </c>
      <c r="H491" t="s">
        <v>717</v>
      </c>
      <c r="I491">
        <v>0</v>
      </c>
    </row>
    <row r="492" spans="1:56" x14ac:dyDescent="0.25">
      <c r="A492" t="s">
        <v>1</v>
      </c>
      <c r="B492" t="s">
        <v>20</v>
      </c>
      <c r="C492" t="s">
        <v>19</v>
      </c>
      <c r="D492" t="b">
        <v>1</v>
      </c>
      <c r="E492" t="s">
        <v>33</v>
      </c>
      <c r="F492">
        <v>1</v>
      </c>
      <c r="G492">
        <v>1</v>
      </c>
      <c r="H492" t="s">
        <v>718</v>
      </c>
      <c r="I492">
        <v>0</v>
      </c>
    </row>
    <row r="493" spans="1:56" x14ac:dyDescent="0.25">
      <c r="A493" t="s">
        <v>126</v>
      </c>
      <c r="B493" t="s">
        <v>20</v>
      </c>
      <c r="C493" t="s">
        <v>19</v>
      </c>
      <c r="D493" t="b">
        <v>1</v>
      </c>
      <c r="E493" t="s">
        <v>33</v>
      </c>
      <c r="F493">
        <v>0</v>
      </c>
      <c r="G493">
        <v>1</v>
      </c>
      <c r="H493" t="s">
        <v>719</v>
      </c>
      <c r="I493">
        <v>0</v>
      </c>
    </row>
    <row r="494" spans="1:56" x14ac:dyDescent="0.25">
      <c r="A494" t="s">
        <v>21</v>
      </c>
      <c r="B494" t="s">
        <v>20</v>
      </c>
      <c r="C494" t="s">
        <v>19</v>
      </c>
      <c r="D494" t="b">
        <v>1</v>
      </c>
      <c r="E494" t="s">
        <v>33</v>
      </c>
      <c r="F494">
        <v>1</v>
      </c>
      <c r="G494">
        <v>1</v>
      </c>
      <c r="H494" t="s">
        <v>720</v>
      </c>
      <c r="I494">
        <v>5</v>
      </c>
      <c r="J494" t="s">
        <v>1687</v>
      </c>
      <c r="K494" t="s">
        <v>913</v>
      </c>
      <c r="L494" t="s">
        <v>1688</v>
      </c>
      <c r="M494" t="s">
        <v>1689</v>
      </c>
      <c r="N494" t="s">
        <v>1690</v>
      </c>
    </row>
    <row r="495" spans="1:56" x14ac:dyDescent="0.25">
      <c r="A495" t="s">
        <v>22</v>
      </c>
      <c r="B495" t="s">
        <v>20</v>
      </c>
      <c r="C495" t="s">
        <v>19</v>
      </c>
      <c r="D495" t="b">
        <v>1</v>
      </c>
      <c r="E495" t="s">
        <v>152</v>
      </c>
      <c r="F495">
        <v>1</v>
      </c>
      <c r="G495">
        <v>1</v>
      </c>
      <c r="H495" t="s">
        <v>721</v>
      </c>
      <c r="I495">
        <v>0</v>
      </c>
    </row>
    <row r="496" spans="1:56" x14ac:dyDescent="0.25">
      <c r="A496" t="s">
        <v>680</v>
      </c>
      <c r="B496" t="s">
        <v>20</v>
      </c>
      <c r="C496" t="s">
        <v>19</v>
      </c>
      <c r="D496" t="b">
        <v>1</v>
      </c>
      <c r="E496" t="s">
        <v>152</v>
      </c>
      <c r="F496">
        <v>1</v>
      </c>
      <c r="G496">
        <v>1</v>
      </c>
      <c r="H496" t="s">
        <v>722</v>
      </c>
      <c r="I496">
        <v>0</v>
      </c>
    </row>
    <row r="497" spans="1:22" x14ac:dyDescent="0.25">
      <c r="A497" t="s">
        <v>723</v>
      </c>
      <c r="B497" t="s">
        <v>20</v>
      </c>
      <c r="C497" t="s">
        <v>19</v>
      </c>
      <c r="D497" t="b">
        <v>1</v>
      </c>
      <c r="E497" t="s">
        <v>142</v>
      </c>
      <c r="F497">
        <v>0</v>
      </c>
      <c r="G497">
        <v>1</v>
      </c>
      <c r="H497" t="s">
        <v>724</v>
      </c>
      <c r="I497">
        <v>4</v>
      </c>
      <c r="J497" t="s">
        <v>1270</v>
      </c>
      <c r="K497" t="s">
        <v>918</v>
      </c>
      <c r="L497" t="s">
        <v>1271</v>
      </c>
      <c r="M497" t="s">
        <v>919</v>
      </c>
    </row>
    <row r="498" spans="1:22" x14ac:dyDescent="0.25">
      <c r="A498" t="s">
        <v>682</v>
      </c>
      <c r="B498" t="s">
        <v>20</v>
      </c>
      <c r="C498" t="s">
        <v>19</v>
      </c>
      <c r="D498" t="b">
        <v>1</v>
      </c>
      <c r="E498" t="s">
        <v>152</v>
      </c>
      <c r="F498">
        <v>0</v>
      </c>
      <c r="G498">
        <v>1</v>
      </c>
      <c r="H498" t="s">
        <v>683</v>
      </c>
      <c r="I498">
        <v>0</v>
      </c>
    </row>
    <row r="499" spans="1:22" x14ac:dyDescent="0.25">
      <c r="A499" t="s">
        <v>725</v>
      </c>
      <c r="B499" t="s">
        <v>5</v>
      </c>
      <c r="C499" t="s">
        <v>4</v>
      </c>
      <c r="D499" t="b">
        <v>0</v>
      </c>
      <c r="F499">
        <v>0</v>
      </c>
      <c r="G499">
        <v>1</v>
      </c>
      <c r="H499" t="s">
        <v>726</v>
      </c>
      <c r="I499">
        <v>0</v>
      </c>
    </row>
    <row r="500" spans="1:22" x14ac:dyDescent="0.25">
      <c r="A500" t="s">
        <v>727</v>
      </c>
      <c r="B500" t="s">
        <v>725</v>
      </c>
      <c r="C500" t="s">
        <v>5</v>
      </c>
      <c r="D500" t="b">
        <v>0</v>
      </c>
      <c r="F500">
        <v>1</v>
      </c>
      <c r="G500" t="s">
        <v>125</v>
      </c>
      <c r="H500" t="s">
        <v>728</v>
      </c>
      <c r="I500">
        <v>0</v>
      </c>
    </row>
    <row r="501" spans="1:22" x14ac:dyDescent="0.25">
      <c r="A501" t="s">
        <v>1</v>
      </c>
      <c r="B501" t="s">
        <v>727</v>
      </c>
      <c r="C501" t="s">
        <v>725</v>
      </c>
      <c r="D501" t="b">
        <v>1</v>
      </c>
      <c r="E501" t="s">
        <v>33</v>
      </c>
      <c r="F501">
        <v>1</v>
      </c>
      <c r="G501">
        <v>1</v>
      </c>
      <c r="H501" t="s">
        <v>729</v>
      </c>
      <c r="I501">
        <v>0</v>
      </c>
    </row>
    <row r="502" spans="1:22" x14ac:dyDescent="0.25">
      <c r="A502" t="s">
        <v>126</v>
      </c>
      <c r="B502" t="s">
        <v>727</v>
      </c>
      <c r="C502" t="s">
        <v>725</v>
      </c>
      <c r="D502" t="b">
        <v>1</v>
      </c>
      <c r="E502" t="s">
        <v>33</v>
      </c>
      <c r="F502">
        <v>0</v>
      </c>
      <c r="G502">
        <v>1</v>
      </c>
      <c r="H502" t="s">
        <v>730</v>
      </c>
      <c r="I502">
        <v>0</v>
      </c>
    </row>
    <row r="503" spans="1:22" x14ac:dyDescent="0.25">
      <c r="A503" t="s">
        <v>731</v>
      </c>
      <c r="B503" t="s">
        <v>727</v>
      </c>
      <c r="C503" t="s">
        <v>725</v>
      </c>
      <c r="D503" t="b">
        <v>1</v>
      </c>
      <c r="E503" t="s">
        <v>33</v>
      </c>
      <c r="F503">
        <v>1</v>
      </c>
      <c r="G503">
        <v>1</v>
      </c>
      <c r="H503" t="s">
        <v>732</v>
      </c>
      <c r="I503">
        <v>3</v>
      </c>
      <c r="J503" t="s">
        <v>926</v>
      </c>
      <c r="K503" t="s">
        <v>1691</v>
      </c>
      <c r="L503" t="s">
        <v>1692</v>
      </c>
    </row>
    <row r="504" spans="1:22" x14ac:dyDescent="0.25">
      <c r="A504" t="s">
        <v>661</v>
      </c>
      <c r="B504" t="s">
        <v>727</v>
      </c>
      <c r="C504" t="s">
        <v>725</v>
      </c>
      <c r="D504" t="b">
        <v>1</v>
      </c>
      <c r="E504" t="s">
        <v>33</v>
      </c>
      <c r="F504">
        <v>1</v>
      </c>
      <c r="G504">
        <v>1</v>
      </c>
      <c r="H504" t="s">
        <v>733</v>
      </c>
      <c r="I504">
        <v>6</v>
      </c>
      <c r="J504" t="s">
        <v>1693</v>
      </c>
      <c r="K504" t="s">
        <v>1694</v>
      </c>
      <c r="L504" t="s">
        <v>1695</v>
      </c>
      <c r="M504" t="s">
        <v>925</v>
      </c>
      <c r="N504" t="s">
        <v>1696</v>
      </c>
      <c r="O504" t="s">
        <v>1697</v>
      </c>
    </row>
    <row r="505" spans="1:22" x14ac:dyDescent="0.25">
      <c r="A505" t="s">
        <v>734</v>
      </c>
      <c r="B505" t="s">
        <v>727</v>
      </c>
      <c r="C505" t="s">
        <v>725</v>
      </c>
      <c r="D505" t="b">
        <v>1</v>
      </c>
      <c r="E505" t="s">
        <v>33</v>
      </c>
      <c r="F505">
        <v>0</v>
      </c>
      <c r="G505">
        <v>1</v>
      </c>
      <c r="H505" t="s">
        <v>735</v>
      </c>
      <c r="I505">
        <v>13</v>
      </c>
      <c r="J505" t="s">
        <v>1698</v>
      </c>
      <c r="K505" t="s">
        <v>1699</v>
      </c>
      <c r="L505" t="s">
        <v>927</v>
      </c>
      <c r="M505" t="s">
        <v>1700</v>
      </c>
      <c r="N505" t="s">
        <v>1701</v>
      </c>
      <c r="O505" t="s">
        <v>1702</v>
      </c>
      <c r="P505" t="s">
        <v>1703</v>
      </c>
      <c r="Q505" t="s">
        <v>1704</v>
      </c>
      <c r="R505" t="s">
        <v>1705</v>
      </c>
      <c r="S505" t="s">
        <v>1706</v>
      </c>
      <c r="T505" t="s">
        <v>1707</v>
      </c>
      <c r="U505" t="s">
        <v>1708</v>
      </c>
      <c r="V505" t="s">
        <v>1709</v>
      </c>
    </row>
    <row r="506" spans="1:22" x14ac:dyDescent="0.25">
      <c r="A506" t="s">
        <v>736</v>
      </c>
      <c r="B506" t="s">
        <v>727</v>
      </c>
      <c r="C506" t="s">
        <v>725</v>
      </c>
      <c r="D506" t="b">
        <v>1</v>
      </c>
      <c r="E506" t="s">
        <v>33</v>
      </c>
      <c r="F506">
        <v>0</v>
      </c>
      <c r="G506">
        <v>1</v>
      </c>
      <c r="H506" t="s">
        <v>737</v>
      </c>
      <c r="I506">
        <v>3</v>
      </c>
      <c r="J506" t="s">
        <v>1710</v>
      </c>
      <c r="K506" t="s">
        <v>1711</v>
      </c>
      <c r="L506" t="s">
        <v>1712</v>
      </c>
    </row>
    <row r="507" spans="1:22" x14ac:dyDescent="0.25">
      <c r="A507" t="s">
        <v>738</v>
      </c>
      <c r="B507" t="s">
        <v>727</v>
      </c>
      <c r="C507" t="s">
        <v>725</v>
      </c>
      <c r="D507" t="b">
        <v>1</v>
      </c>
      <c r="E507" t="s">
        <v>142</v>
      </c>
      <c r="F507">
        <v>0</v>
      </c>
      <c r="G507">
        <v>1</v>
      </c>
      <c r="H507" t="s">
        <v>739</v>
      </c>
      <c r="I507">
        <v>4</v>
      </c>
      <c r="J507" t="s">
        <v>1270</v>
      </c>
      <c r="K507" t="s">
        <v>918</v>
      </c>
      <c r="L507" t="s">
        <v>1271</v>
      </c>
      <c r="M507" t="s">
        <v>919</v>
      </c>
    </row>
    <row r="508" spans="1:22" x14ac:dyDescent="0.25">
      <c r="A508" t="s">
        <v>740</v>
      </c>
      <c r="B508" t="s">
        <v>727</v>
      </c>
      <c r="C508" t="s">
        <v>725</v>
      </c>
      <c r="D508" t="b">
        <v>1</v>
      </c>
      <c r="E508" t="s">
        <v>142</v>
      </c>
      <c r="F508">
        <v>0</v>
      </c>
      <c r="G508">
        <v>1</v>
      </c>
      <c r="H508" t="s">
        <v>741</v>
      </c>
      <c r="I508">
        <v>4</v>
      </c>
      <c r="J508" t="s">
        <v>1270</v>
      </c>
      <c r="K508" t="s">
        <v>918</v>
      </c>
      <c r="L508" t="s">
        <v>1271</v>
      </c>
      <c r="M508" t="s">
        <v>919</v>
      </c>
    </row>
    <row r="509" spans="1:22" x14ac:dyDescent="0.25">
      <c r="A509" t="s">
        <v>742</v>
      </c>
      <c r="B509" t="s">
        <v>727</v>
      </c>
      <c r="C509" t="s">
        <v>725</v>
      </c>
      <c r="D509" t="b">
        <v>1</v>
      </c>
      <c r="E509" t="s">
        <v>33</v>
      </c>
      <c r="F509">
        <v>0</v>
      </c>
      <c r="G509">
        <v>1</v>
      </c>
      <c r="H509" t="s">
        <v>743</v>
      </c>
      <c r="I509">
        <v>9</v>
      </c>
      <c r="J509" t="s">
        <v>1713</v>
      </c>
      <c r="K509" t="s">
        <v>1714</v>
      </c>
      <c r="L509" t="s">
        <v>1715</v>
      </c>
      <c r="M509" t="s">
        <v>1716</v>
      </c>
      <c r="N509" t="s">
        <v>1717</v>
      </c>
      <c r="O509" t="s">
        <v>1718</v>
      </c>
      <c r="P509" t="s">
        <v>1719</v>
      </c>
      <c r="Q509" t="s">
        <v>1720</v>
      </c>
      <c r="R509" t="s">
        <v>1721</v>
      </c>
    </row>
    <row r="510" spans="1:22" x14ac:dyDescent="0.25">
      <c r="A510" t="s">
        <v>744</v>
      </c>
      <c r="B510" t="s">
        <v>727</v>
      </c>
      <c r="C510" t="s">
        <v>725</v>
      </c>
      <c r="D510" t="b">
        <v>1</v>
      </c>
      <c r="E510" t="s">
        <v>152</v>
      </c>
      <c r="F510">
        <v>0</v>
      </c>
      <c r="G510">
        <v>1</v>
      </c>
      <c r="H510" t="s">
        <v>745</v>
      </c>
      <c r="I510">
        <v>0</v>
      </c>
    </row>
    <row r="511" spans="1:22" x14ac:dyDescent="0.25">
      <c r="A511" t="s">
        <v>746</v>
      </c>
      <c r="B511" t="s">
        <v>727</v>
      </c>
      <c r="C511" t="s">
        <v>725</v>
      </c>
      <c r="D511" t="b">
        <v>1</v>
      </c>
      <c r="E511" t="s">
        <v>152</v>
      </c>
      <c r="F511">
        <v>0</v>
      </c>
      <c r="G511">
        <v>1</v>
      </c>
      <c r="H511" t="s">
        <v>747</v>
      </c>
      <c r="I511">
        <v>0</v>
      </c>
    </row>
    <row r="512" spans="1:22" x14ac:dyDescent="0.25">
      <c r="A512" t="s">
        <v>680</v>
      </c>
      <c r="B512" t="s">
        <v>727</v>
      </c>
      <c r="C512" t="s">
        <v>725</v>
      </c>
      <c r="D512" t="b">
        <v>1</v>
      </c>
      <c r="E512" t="s">
        <v>152</v>
      </c>
      <c r="F512">
        <v>1</v>
      </c>
      <c r="G512">
        <v>1</v>
      </c>
      <c r="H512" t="s">
        <v>748</v>
      </c>
      <c r="I512">
        <v>0</v>
      </c>
    </row>
    <row r="513" spans="1:16" x14ac:dyDescent="0.25">
      <c r="A513" t="s">
        <v>749</v>
      </c>
      <c r="B513" t="s">
        <v>5</v>
      </c>
      <c r="C513" t="s">
        <v>4</v>
      </c>
      <c r="D513" t="b">
        <v>0</v>
      </c>
      <c r="F513">
        <v>0</v>
      </c>
      <c r="G513">
        <v>1</v>
      </c>
      <c r="H513" t="s">
        <v>750</v>
      </c>
      <c r="I513">
        <v>0</v>
      </c>
    </row>
    <row r="514" spans="1:16" x14ac:dyDescent="0.25">
      <c r="A514" t="s">
        <v>751</v>
      </c>
      <c r="B514" t="s">
        <v>749</v>
      </c>
      <c r="C514" t="s">
        <v>5</v>
      </c>
      <c r="D514" t="b">
        <v>1</v>
      </c>
      <c r="E514" t="s">
        <v>42</v>
      </c>
      <c r="F514">
        <v>1</v>
      </c>
      <c r="G514">
        <v>1</v>
      </c>
      <c r="H514" t="s">
        <v>752</v>
      </c>
      <c r="I514">
        <v>0</v>
      </c>
    </row>
    <row r="515" spans="1:16" x14ac:dyDescent="0.25">
      <c r="A515" t="s">
        <v>753</v>
      </c>
      <c r="B515" t="s">
        <v>749</v>
      </c>
      <c r="C515" t="s">
        <v>5</v>
      </c>
      <c r="D515" t="b">
        <v>1</v>
      </c>
      <c r="E515" t="s">
        <v>42</v>
      </c>
      <c r="F515">
        <v>1</v>
      </c>
      <c r="G515">
        <v>1</v>
      </c>
      <c r="H515" t="s">
        <v>754</v>
      </c>
      <c r="I515">
        <v>0</v>
      </c>
    </row>
    <row r="516" spans="1:16" x14ac:dyDescent="0.25">
      <c r="A516" t="s">
        <v>755</v>
      </c>
      <c r="B516" t="s">
        <v>749</v>
      </c>
      <c r="C516" t="s">
        <v>5</v>
      </c>
      <c r="D516" t="b">
        <v>1</v>
      </c>
      <c r="E516" t="s">
        <v>42</v>
      </c>
      <c r="F516">
        <v>1</v>
      </c>
      <c r="G516">
        <v>1</v>
      </c>
      <c r="H516" t="s">
        <v>756</v>
      </c>
      <c r="I516">
        <v>0</v>
      </c>
    </row>
    <row r="517" spans="1:16" x14ac:dyDescent="0.25">
      <c r="A517" t="s">
        <v>757</v>
      </c>
      <c r="B517" t="s">
        <v>749</v>
      </c>
      <c r="C517" t="s">
        <v>5</v>
      </c>
      <c r="D517" t="b">
        <v>1</v>
      </c>
      <c r="E517" t="s">
        <v>42</v>
      </c>
      <c r="F517">
        <v>1</v>
      </c>
      <c r="G517">
        <v>1</v>
      </c>
      <c r="H517" t="s">
        <v>758</v>
      </c>
      <c r="I517">
        <v>0</v>
      </c>
    </row>
    <row r="518" spans="1:16" x14ac:dyDescent="0.25">
      <c r="A518" t="s">
        <v>759</v>
      </c>
      <c r="B518" t="s">
        <v>749</v>
      </c>
      <c r="C518" t="s">
        <v>5</v>
      </c>
      <c r="D518" t="b">
        <v>1</v>
      </c>
      <c r="E518" t="s">
        <v>42</v>
      </c>
      <c r="F518">
        <v>1</v>
      </c>
      <c r="G518">
        <v>1</v>
      </c>
      <c r="H518" t="s">
        <v>760</v>
      </c>
      <c r="I518">
        <v>0</v>
      </c>
    </row>
    <row r="519" spans="1:16" x14ac:dyDescent="0.25">
      <c r="A519" t="s">
        <v>761</v>
      </c>
      <c r="B519" t="s">
        <v>749</v>
      </c>
      <c r="C519" t="s">
        <v>5</v>
      </c>
      <c r="D519" t="b">
        <v>1</v>
      </c>
      <c r="E519" t="s">
        <v>42</v>
      </c>
      <c r="F519">
        <v>1</v>
      </c>
      <c r="G519">
        <v>1</v>
      </c>
      <c r="H519" t="s">
        <v>762</v>
      </c>
      <c r="I519">
        <v>0</v>
      </c>
    </row>
    <row r="520" spans="1:16" x14ac:dyDescent="0.25">
      <c r="A520" t="s">
        <v>763</v>
      </c>
      <c r="B520" t="s">
        <v>749</v>
      </c>
      <c r="C520" t="s">
        <v>5</v>
      </c>
      <c r="D520" t="b">
        <v>1</v>
      </c>
      <c r="E520" t="s">
        <v>42</v>
      </c>
      <c r="F520">
        <v>0</v>
      </c>
      <c r="G520">
        <v>1</v>
      </c>
      <c r="H520" t="s">
        <v>155</v>
      </c>
      <c r="I520">
        <v>0</v>
      </c>
    </row>
    <row r="521" spans="1:16" x14ac:dyDescent="0.25">
      <c r="A521" t="s">
        <v>764</v>
      </c>
      <c r="B521" t="s">
        <v>749</v>
      </c>
      <c r="C521" t="s">
        <v>5</v>
      </c>
      <c r="D521" t="b">
        <v>1</v>
      </c>
      <c r="E521" t="s">
        <v>42</v>
      </c>
      <c r="F521">
        <v>1</v>
      </c>
      <c r="G521">
        <v>1</v>
      </c>
      <c r="H521" t="s">
        <v>765</v>
      </c>
      <c r="I521">
        <v>0</v>
      </c>
    </row>
    <row r="522" spans="1:16" x14ac:dyDescent="0.25">
      <c r="A522" t="s">
        <v>766</v>
      </c>
      <c r="B522" t="s">
        <v>749</v>
      </c>
      <c r="C522" t="s">
        <v>5</v>
      </c>
      <c r="D522" t="b">
        <v>1</v>
      </c>
      <c r="E522" t="s">
        <v>33</v>
      </c>
      <c r="F522">
        <v>1</v>
      </c>
      <c r="G522">
        <v>1</v>
      </c>
      <c r="H522" t="s">
        <v>767</v>
      </c>
      <c r="I522">
        <v>7</v>
      </c>
      <c r="J522" t="s">
        <v>1722</v>
      </c>
      <c r="K522" t="s">
        <v>1723</v>
      </c>
      <c r="L522" t="s">
        <v>1724</v>
      </c>
      <c r="M522" t="s">
        <v>1725</v>
      </c>
      <c r="N522" t="s">
        <v>1726</v>
      </c>
      <c r="O522" t="s">
        <v>1727</v>
      </c>
      <c r="P522" t="s">
        <v>1728</v>
      </c>
    </row>
    <row r="523" spans="1:16" x14ac:dyDescent="0.25">
      <c r="A523" t="s">
        <v>768</v>
      </c>
      <c r="B523" t="s">
        <v>749</v>
      </c>
      <c r="C523" t="s">
        <v>5</v>
      </c>
      <c r="D523" t="b">
        <v>1</v>
      </c>
      <c r="E523" t="s">
        <v>33</v>
      </c>
      <c r="F523">
        <v>0</v>
      </c>
      <c r="G523">
        <v>1</v>
      </c>
      <c r="H523" t="s">
        <v>769</v>
      </c>
      <c r="I523">
        <v>0</v>
      </c>
    </row>
    <row r="524" spans="1:16" x14ac:dyDescent="0.25">
      <c r="A524" t="s">
        <v>770</v>
      </c>
      <c r="B524" t="s">
        <v>749</v>
      </c>
      <c r="C524" t="s">
        <v>5</v>
      </c>
      <c r="D524" t="b">
        <v>1</v>
      </c>
      <c r="E524" t="s">
        <v>152</v>
      </c>
      <c r="F524">
        <v>0</v>
      </c>
      <c r="G524">
        <v>1</v>
      </c>
      <c r="H524" t="s">
        <v>771</v>
      </c>
      <c r="I524">
        <v>0</v>
      </c>
    </row>
    <row r="525" spans="1:16" x14ac:dyDescent="0.25">
      <c r="A525" t="s">
        <v>772</v>
      </c>
      <c r="B525" t="s">
        <v>749</v>
      </c>
      <c r="C525" t="s">
        <v>5</v>
      </c>
      <c r="D525" t="b">
        <v>1</v>
      </c>
      <c r="E525" t="s">
        <v>33</v>
      </c>
      <c r="F525">
        <v>0</v>
      </c>
      <c r="G525">
        <v>1</v>
      </c>
      <c r="H525" t="s">
        <v>773</v>
      </c>
      <c r="I525">
        <v>3</v>
      </c>
      <c r="J525" t="s">
        <v>1729</v>
      </c>
      <c r="K525" t="s">
        <v>1730</v>
      </c>
      <c r="L525" t="s">
        <v>1731</v>
      </c>
    </row>
    <row r="526" spans="1:16" x14ac:dyDescent="0.25">
      <c r="A526" t="s">
        <v>21</v>
      </c>
      <c r="B526" t="s">
        <v>749</v>
      </c>
      <c r="C526" t="s">
        <v>5</v>
      </c>
      <c r="D526" t="b">
        <v>1</v>
      </c>
      <c r="E526" t="s">
        <v>33</v>
      </c>
      <c r="F526">
        <v>0</v>
      </c>
      <c r="G526">
        <v>1</v>
      </c>
      <c r="H526" t="s">
        <v>774</v>
      </c>
      <c r="I526">
        <v>2</v>
      </c>
      <c r="J526" t="s">
        <v>1732</v>
      </c>
      <c r="K526" t="s">
        <v>1733</v>
      </c>
    </row>
    <row r="527" spans="1:16" x14ac:dyDescent="0.25">
      <c r="A527" t="s">
        <v>775</v>
      </c>
      <c r="B527" t="s">
        <v>749</v>
      </c>
      <c r="C527" t="s">
        <v>5</v>
      </c>
      <c r="D527" t="b">
        <v>1</v>
      </c>
      <c r="E527" t="s">
        <v>142</v>
      </c>
      <c r="F527">
        <v>0</v>
      </c>
      <c r="G527">
        <v>1</v>
      </c>
      <c r="H527" t="s">
        <v>776</v>
      </c>
      <c r="I527">
        <v>4</v>
      </c>
      <c r="J527" t="s">
        <v>1270</v>
      </c>
      <c r="K527" t="s">
        <v>918</v>
      </c>
      <c r="L527" t="s">
        <v>1271</v>
      </c>
      <c r="M527" t="s">
        <v>919</v>
      </c>
    </row>
    <row r="528" spans="1:16" x14ac:dyDescent="0.25">
      <c r="A528" t="s">
        <v>777</v>
      </c>
      <c r="B528" t="s">
        <v>749</v>
      </c>
      <c r="C528" t="s">
        <v>5</v>
      </c>
      <c r="D528" t="b">
        <v>1</v>
      </c>
      <c r="E528" t="s">
        <v>152</v>
      </c>
      <c r="F528">
        <v>0</v>
      </c>
      <c r="G528">
        <v>1</v>
      </c>
      <c r="H528" t="s">
        <v>778</v>
      </c>
      <c r="I528">
        <v>0</v>
      </c>
    </row>
    <row r="529" spans="1:19" x14ac:dyDescent="0.25">
      <c r="A529" t="s">
        <v>779</v>
      </c>
      <c r="B529" t="s">
        <v>749</v>
      </c>
      <c r="C529" t="s">
        <v>5</v>
      </c>
      <c r="D529" t="b">
        <v>1</v>
      </c>
      <c r="E529" t="s">
        <v>42</v>
      </c>
      <c r="F529">
        <v>1</v>
      </c>
      <c r="G529">
        <v>1</v>
      </c>
      <c r="H529" t="s">
        <v>780</v>
      </c>
      <c r="I529">
        <v>0</v>
      </c>
    </row>
    <row r="530" spans="1:19" x14ac:dyDescent="0.25">
      <c r="A530" t="s">
        <v>781</v>
      </c>
      <c r="B530" t="s">
        <v>749</v>
      </c>
      <c r="C530" t="s">
        <v>5</v>
      </c>
      <c r="D530" t="b">
        <v>1</v>
      </c>
      <c r="E530" t="s">
        <v>33</v>
      </c>
      <c r="F530">
        <v>1</v>
      </c>
      <c r="G530">
        <v>1</v>
      </c>
      <c r="H530" t="s">
        <v>782</v>
      </c>
      <c r="I530">
        <v>10</v>
      </c>
      <c r="J530" t="s">
        <v>914</v>
      </c>
      <c r="K530" t="s">
        <v>1734</v>
      </c>
      <c r="L530" t="s">
        <v>1735</v>
      </c>
      <c r="M530" t="s">
        <v>1736</v>
      </c>
      <c r="N530" t="s">
        <v>1737</v>
      </c>
      <c r="O530" t="s">
        <v>1738</v>
      </c>
      <c r="P530" t="s">
        <v>1739</v>
      </c>
      <c r="Q530" t="s">
        <v>1740</v>
      </c>
      <c r="R530" t="s">
        <v>1741</v>
      </c>
      <c r="S530" t="s">
        <v>1742</v>
      </c>
    </row>
    <row r="531" spans="1:19" x14ac:dyDescent="0.25">
      <c r="A531" t="s">
        <v>783</v>
      </c>
      <c r="B531" t="s">
        <v>749</v>
      </c>
      <c r="C531" t="s">
        <v>5</v>
      </c>
      <c r="D531" t="b">
        <v>1</v>
      </c>
      <c r="E531" t="s">
        <v>33</v>
      </c>
      <c r="F531">
        <v>0</v>
      </c>
      <c r="G531">
        <v>1</v>
      </c>
      <c r="H531" t="s">
        <v>784</v>
      </c>
      <c r="I531">
        <v>3</v>
      </c>
      <c r="J531" t="s">
        <v>1512</v>
      </c>
      <c r="K531" t="s">
        <v>1470</v>
      </c>
      <c r="L531" t="s">
        <v>921</v>
      </c>
    </row>
    <row r="532" spans="1:19" x14ac:dyDescent="0.25">
      <c r="A532" t="s">
        <v>785</v>
      </c>
      <c r="B532" t="s">
        <v>749</v>
      </c>
      <c r="C532" t="s">
        <v>5</v>
      </c>
      <c r="D532" t="b">
        <v>1</v>
      </c>
      <c r="E532" t="s">
        <v>42</v>
      </c>
      <c r="F532">
        <v>0</v>
      </c>
      <c r="G532">
        <v>1</v>
      </c>
      <c r="H532" t="s">
        <v>786</v>
      </c>
      <c r="I532">
        <v>0</v>
      </c>
    </row>
    <row r="533" spans="1:19" x14ac:dyDescent="0.25">
      <c r="A533" t="s">
        <v>787</v>
      </c>
      <c r="B533" t="s">
        <v>749</v>
      </c>
      <c r="C533" t="s">
        <v>5</v>
      </c>
      <c r="D533" t="b">
        <v>1</v>
      </c>
      <c r="E533" t="s">
        <v>33</v>
      </c>
      <c r="F533">
        <v>0</v>
      </c>
      <c r="G533">
        <v>1</v>
      </c>
      <c r="H533" t="s">
        <v>788</v>
      </c>
      <c r="I533">
        <v>0</v>
      </c>
    </row>
    <row r="534" spans="1:19" x14ac:dyDescent="0.25">
      <c r="A534" t="s">
        <v>789</v>
      </c>
      <c r="B534" t="s">
        <v>749</v>
      </c>
      <c r="C534" t="s">
        <v>5</v>
      </c>
      <c r="D534" t="b">
        <v>1</v>
      </c>
      <c r="E534" t="s">
        <v>33</v>
      </c>
      <c r="F534">
        <v>0</v>
      </c>
      <c r="G534">
        <v>1</v>
      </c>
      <c r="H534" t="s">
        <v>790</v>
      </c>
      <c r="I534">
        <v>0</v>
      </c>
    </row>
    <row r="535" spans="1:19" x14ac:dyDescent="0.25">
      <c r="A535" t="s">
        <v>791</v>
      </c>
      <c r="B535" t="s">
        <v>749</v>
      </c>
      <c r="C535" t="s">
        <v>5</v>
      </c>
      <c r="D535" t="b">
        <v>1</v>
      </c>
      <c r="E535" t="s">
        <v>33</v>
      </c>
      <c r="F535">
        <v>0</v>
      </c>
      <c r="G535">
        <v>1</v>
      </c>
      <c r="H535" t="s">
        <v>792</v>
      </c>
      <c r="I535">
        <v>0</v>
      </c>
    </row>
    <row r="536" spans="1:19" x14ac:dyDescent="0.25">
      <c r="A536" t="s">
        <v>793</v>
      </c>
      <c r="B536" t="s">
        <v>749</v>
      </c>
      <c r="C536" t="s">
        <v>5</v>
      </c>
      <c r="D536" t="b">
        <v>1</v>
      </c>
      <c r="E536" t="s">
        <v>42</v>
      </c>
      <c r="F536">
        <v>0</v>
      </c>
      <c r="G536">
        <v>1</v>
      </c>
      <c r="H536" t="s">
        <v>794</v>
      </c>
      <c r="I536">
        <v>0</v>
      </c>
    </row>
    <row r="537" spans="1:19" x14ac:dyDescent="0.25">
      <c r="A537" t="s">
        <v>795</v>
      </c>
      <c r="B537" t="s">
        <v>749</v>
      </c>
      <c r="C537" t="s">
        <v>5</v>
      </c>
      <c r="D537" t="b">
        <v>1</v>
      </c>
      <c r="E537" t="s">
        <v>152</v>
      </c>
      <c r="F537">
        <v>0</v>
      </c>
      <c r="G537">
        <v>1</v>
      </c>
      <c r="H537" t="s">
        <v>796</v>
      </c>
      <c r="I537">
        <v>0</v>
      </c>
    </row>
    <row r="538" spans="1:19" x14ac:dyDescent="0.25">
      <c r="A538" t="s">
        <v>797</v>
      </c>
      <c r="B538" t="s">
        <v>749</v>
      </c>
      <c r="C538" t="s">
        <v>5</v>
      </c>
      <c r="D538" t="b">
        <v>1</v>
      </c>
      <c r="E538" t="s">
        <v>152</v>
      </c>
      <c r="F538">
        <v>0</v>
      </c>
      <c r="G538">
        <v>1</v>
      </c>
      <c r="H538" t="s">
        <v>798</v>
      </c>
      <c r="I538">
        <v>0</v>
      </c>
    </row>
    <row r="539" spans="1:19" x14ac:dyDescent="0.25">
      <c r="A539" t="s">
        <v>799</v>
      </c>
      <c r="B539" t="s">
        <v>749</v>
      </c>
      <c r="C539" t="s">
        <v>5</v>
      </c>
      <c r="D539" t="b">
        <v>1</v>
      </c>
      <c r="E539" t="s">
        <v>33</v>
      </c>
      <c r="F539">
        <v>0</v>
      </c>
      <c r="G539">
        <v>1</v>
      </c>
      <c r="H539" t="s">
        <v>800</v>
      </c>
      <c r="I539">
        <v>3</v>
      </c>
      <c r="J539" t="s">
        <v>1743</v>
      </c>
      <c r="K539" t="s">
        <v>1744</v>
      </c>
      <c r="L539" t="s">
        <v>1745</v>
      </c>
    </row>
    <row r="540" spans="1:19" x14ac:dyDescent="0.25">
      <c r="A540" t="s">
        <v>801</v>
      </c>
      <c r="B540" t="s">
        <v>749</v>
      </c>
      <c r="C540" t="s">
        <v>5</v>
      </c>
      <c r="D540" t="b">
        <v>1</v>
      </c>
      <c r="E540" t="s">
        <v>33</v>
      </c>
      <c r="F540">
        <v>0</v>
      </c>
      <c r="G540">
        <v>1</v>
      </c>
      <c r="H540" t="s">
        <v>802</v>
      </c>
      <c r="I540">
        <v>2</v>
      </c>
      <c r="J540" t="s">
        <v>1589</v>
      </c>
      <c r="K540" t="s">
        <v>1746</v>
      </c>
    </row>
    <row r="541" spans="1:19" x14ac:dyDescent="0.25">
      <c r="A541" t="s">
        <v>803</v>
      </c>
      <c r="B541" t="s">
        <v>749</v>
      </c>
      <c r="C541" t="s">
        <v>5</v>
      </c>
      <c r="D541" t="b">
        <v>1</v>
      </c>
      <c r="E541" t="s">
        <v>33</v>
      </c>
      <c r="F541">
        <v>0</v>
      </c>
      <c r="G541">
        <v>1</v>
      </c>
      <c r="H541" t="s">
        <v>802</v>
      </c>
      <c r="I541">
        <v>2</v>
      </c>
      <c r="J541" t="s">
        <v>1747</v>
      </c>
      <c r="K541" t="s">
        <v>1748</v>
      </c>
    </row>
    <row r="542" spans="1:19" x14ac:dyDescent="0.25">
      <c r="A542" t="s">
        <v>804</v>
      </c>
      <c r="B542" t="s">
        <v>749</v>
      </c>
      <c r="C542" t="s">
        <v>5</v>
      </c>
      <c r="D542" t="b">
        <v>1</v>
      </c>
      <c r="E542" t="s">
        <v>33</v>
      </c>
      <c r="F542">
        <v>0</v>
      </c>
      <c r="G542">
        <v>1</v>
      </c>
      <c r="H542" t="s">
        <v>805</v>
      </c>
      <c r="I542">
        <v>2</v>
      </c>
      <c r="J542" t="s">
        <v>1749</v>
      </c>
      <c r="K542" t="s">
        <v>1750</v>
      </c>
    </row>
    <row r="543" spans="1:19" x14ac:dyDescent="0.25">
      <c r="A543" t="s">
        <v>806</v>
      </c>
      <c r="B543" t="s">
        <v>749</v>
      </c>
      <c r="C543" t="s">
        <v>5</v>
      </c>
      <c r="D543" t="b">
        <v>1</v>
      </c>
      <c r="E543" t="s">
        <v>142</v>
      </c>
      <c r="F543">
        <v>0</v>
      </c>
      <c r="G543">
        <v>1</v>
      </c>
      <c r="H543" t="s">
        <v>807</v>
      </c>
      <c r="I543">
        <v>4</v>
      </c>
      <c r="J543" t="s">
        <v>1270</v>
      </c>
      <c r="K543" t="s">
        <v>918</v>
      </c>
      <c r="L543" t="s">
        <v>1271</v>
      </c>
      <c r="M543" t="s">
        <v>919</v>
      </c>
    </row>
    <row r="544" spans="1:19" x14ac:dyDescent="0.25">
      <c r="A544" t="s">
        <v>808</v>
      </c>
      <c r="B544" t="s">
        <v>749</v>
      </c>
      <c r="C544" t="s">
        <v>5</v>
      </c>
      <c r="D544" t="b">
        <v>1</v>
      </c>
      <c r="E544" t="s">
        <v>42</v>
      </c>
      <c r="F544">
        <v>0</v>
      </c>
      <c r="G544">
        <v>1</v>
      </c>
      <c r="H544" t="s">
        <v>809</v>
      </c>
      <c r="I544">
        <v>0</v>
      </c>
    </row>
    <row r="545" spans="1:13" x14ac:dyDescent="0.25">
      <c r="A545" t="s">
        <v>810</v>
      </c>
      <c r="B545" t="s">
        <v>749</v>
      </c>
      <c r="C545" t="s">
        <v>5</v>
      </c>
      <c r="D545" t="b">
        <v>1</v>
      </c>
      <c r="E545" t="s">
        <v>152</v>
      </c>
      <c r="F545">
        <v>0</v>
      </c>
      <c r="G545">
        <v>1</v>
      </c>
      <c r="H545" t="s">
        <v>811</v>
      </c>
      <c r="I545">
        <v>0</v>
      </c>
    </row>
    <row r="546" spans="1:13" x14ac:dyDescent="0.25">
      <c r="A546" t="s">
        <v>812</v>
      </c>
      <c r="B546" t="s">
        <v>749</v>
      </c>
      <c r="C546" t="s">
        <v>5</v>
      </c>
      <c r="D546" t="b">
        <v>1</v>
      </c>
      <c r="E546" t="s">
        <v>42</v>
      </c>
      <c r="F546">
        <v>0</v>
      </c>
      <c r="G546">
        <v>1</v>
      </c>
      <c r="H546" t="s">
        <v>813</v>
      </c>
      <c r="I546">
        <v>0</v>
      </c>
    </row>
    <row r="547" spans="1:13" x14ac:dyDescent="0.25">
      <c r="A547" t="s">
        <v>814</v>
      </c>
      <c r="B547" t="s">
        <v>749</v>
      </c>
      <c r="C547" t="s">
        <v>5</v>
      </c>
      <c r="D547" t="b">
        <v>1</v>
      </c>
      <c r="E547" t="s">
        <v>152</v>
      </c>
      <c r="F547">
        <v>0</v>
      </c>
      <c r="G547">
        <v>1</v>
      </c>
      <c r="H547" t="s">
        <v>815</v>
      </c>
      <c r="I547">
        <v>0</v>
      </c>
    </row>
    <row r="548" spans="1:13" x14ac:dyDescent="0.25">
      <c r="A548" t="s">
        <v>816</v>
      </c>
      <c r="B548" t="s">
        <v>749</v>
      </c>
      <c r="C548" t="s">
        <v>5</v>
      </c>
      <c r="D548" t="b">
        <v>1</v>
      </c>
      <c r="E548" t="s">
        <v>42</v>
      </c>
      <c r="F548">
        <v>0</v>
      </c>
      <c r="G548">
        <v>1</v>
      </c>
      <c r="H548" t="s">
        <v>817</v>
      </c>
      <c r="I548">
        <v>0</v>
      </c>
    </row>
    <row r="549" spans="1:13" x14ac:dyDescent="0.25">
      <c r="A549" t="s">
        <v>818</v>
      </c>
      <c r="B549" t="s">
        <v>749</v>
      </c>
      <c r="C549" t="s">
        <v>5</v>
      </c>
      <c r="D549" t="b">
        <v>1</v>
      </c>
      <c r="E549" t="s">
        <v>152</v>
      </c>
      <c r="F549">
        <v>0</v>
      </c>
      <c r="G549">
        <v>1</v>
      </c>
      <c r="H549" t="s">
        <v>819</v>
      </c>
      <c r="I549">
        <v>0</v>
      </c>
    </row>
    <row r="550" spans="1:13" x14ac:dyDescent="0.25">
      <c r="A550" t="s">
        <v>820</v>
      </c>
      <c r="B550" t="s">
        <v>749</v>
      </c>
      <c r="C550" t="s">
        <v>5</v>
      </c>
      <c r="D550" t="b">
        <v>1</v>
      </c>
      <c r="E550" t="s">
        <v>42</v>
      </c>
      <c r="F550">
        <v>0</v>
      </c>
      <c r="G550">
        <v>1</v>
      </c>
      <c r="H550" t="s">
        <v>821</v>
      </c>
      <c r="I550">
        <v>0</v>
      </c>
    </row>
    <row r="551" spans="1:13" x14ac:dyDescent="0.25">
      <c r="A551" t="s">
        <v>822</v>
      </c>
      <c r="B551" t="s">
        <v>749</v>
      </c>
      <c r="C551" t="s">
        <v>5</v>
      </c>
      <c r="D551" t="b">
        <v>1</v>
      </c>
      <c r="E551" t="s">
        <v>152</v>
      </c>
      <c r="F551">
        <v>0</v>
      </c>
      <c r="G551">
        <v>1</v>
      </c>
      <c r="H551" t="s">
        <v>823</v>
      </c>
      <c r="I551">
        <v>0</v>
      </c>
    </row>
    <row r="552" spans="1:13" x14ac:dyDescent="0.25">
      <c r="A552" t="s">
        <v>824</v>
      </c>
      <c r="B552" t="s">
        <v>749</v>
      </c>
      <c r="C552" t="s">
        <v>5</v>
      </c>
      <c r="D552" t="b">
        <v>1</v>
      </c>
      <c r="E552" t="s">
        <v>42</v>
      </c>
      <c r="F552">
        <v>0</v>
      </c>
      <c r="G552">
        <v>1</v>
      </c>
      <c r="H552" t="s">
        <v>825</v>
      </c>
      <c r="I552">
        <v>0</v>
      </c>
    </row>
    <row r="553" spans="1:13" x14ac:dyDescent="0.25">
      <c r="A553" t="s">
        <v>826</v>
      </c>
      <c r="B553" t="s">
        <v>749</v>
      </c>
      <c r="C553" t="s">
        <v>5</v>
      </c>
      <c r="D553" t="b">
        <v>1</v>
      </c>
      <c r="E553" t="s">
        <v>152</v>
      </c>
      <c r="F553">
        <v>0</v>
      </c>
      <c r="G553">
        <v>1</v>
      </c>
      <c r="H553" t="s">
        <v>827</v>
      </c>
      <c r="I553">
        <v>0</v>
      </c>
    </row>
    <row r="554" spans="1:13" x14ac:dyDescent="0.25">
      <c r="A554" t="s">
        <v>828</v>
      </c>
      <c r="B554" t="s">
        <v>749</v>
      </c>
      <c r="C554" t="s">
        <v>5</v>
      </c>
      <c r="D554" t="b">
        <v>1</v>
      </c>
      <c r="E554" t="s">
        <v>42</v>
      </c>
      <c r="F554">
        <v>0</v>
      </c>
      <c r="G554">
        <v>1</v>
      </c>
      <c r="H554" t="s">
        <v>829</v>
      </c>
      <c r="I554">
        <v>0</v>
      </c>
    </row>
    <row r="555" spans="1:13" x14ac:dyDescent="0.25">
      <c r="A555" t="s">
        <v>830</v>
      </c>
      <c r="B555" t="s">
        <v>749</v>
      </c>
      <c r="C555" t="s">
        <v>5</v>
      </c>
      <c r="D555" t="b">
        <v>1</v>
      </c>
      <c r="E555" t="s">
        <v>152</v>
      </c>
      <c r="F555">
        <v>0</v>
      </c>
      <c r="G555">
        <v>1</v>
      </c>
      <c r="H555" t="s">
        <v>831</v>
      </c>
      <c r="I555">
        <v>0</v>
      </c>
    </row>
    <row r="556" spans="1:13" x14ac:dyDescent="0.25">
      <c r="A556" t="s">
        <v>832</v>
      </c>
      <c r="B556" t="s">
        <v>749</v>
      </c>
      <c r="C556" t="s">
        <v>5</v>
      </c>
      <c r="D556" t="b">
        <v>1</v>
      </c>
      <c r="E556" t="s">
        <v>42</v>
      </c>
      <c r="F556">
        <v>0</v>
      </c>
      <c r="G556">
        <v>1</v>
      </c>
      <c r="H556" t="s">
        <v>29</v>
      </c>
      <c r="I556">
        <v>0</v>
      </c>
    </row>
    <row r="557" spans="1:13" x14ac:dyDescent="0.25">
      <c r="A557" t="s">
        <v>833</v>
      </c>
      <c r="B557" t="s">
        <v>749</v>
      </c>
      <c r="C557" t="s">
        <v>5</v>
      </c>
      <c r="D557" t="b">
        <v>1</v>
      </c>
      <c r="E557" t="s">
        <v>42</v>
      </c>
      <c r="F557">
        <v>0</v>
      </c>
      <c r="G557">
        <v>1</v>
      </c>
      <c r="H557" t="s">
        <v>29</v>
      </c>
      <c r="I557">
        <v>0</v>
      </c>
    </row>
    <row r="558" spans="1:13" x14ac:dyDescent="0.25">
      <c r="A558" t="s">
        <v>834</v>
      </c>
      <c r="B558" t="s">
        <v>749</v>
      </c>
      <c r="C558" t="s">
        <v>5</v>
      </c>
      <c r="D558" t="b">
        <v>1</v>
      </c>
      <c r="E558" t="s">
        <v>142</v>
      </c>
      <c r="F558">
        <v>0</v>
      </c>
      <c r="G558">
        <v>1</v>
      </c>
      <c r="H558" t="s">
        <v>29</v>
      </c>
      <c r="I558">
        <v>4</v>
      </c>
      <c r="J558" t="s">
        <v>1270</v>
      </c>
      <c r="K558" t="s">
        <v>918</v>
      </c>
      <c r="L558" t="s">
        <v>1271</v>
      </c>
      <c r="M558" t="s">
        <v>919</v>
      </c>
    </row>
    <row r="559" spans="1:13" x14ac:dyDescent="0.25">
      <c r="A559" t="s">
        <v>835</v>
      </c>
      <c r="B559" t="s">
        <v>749</v>
      </c>
      <c r="C559" t="s">
        <v>5</v>
      </c>
      <c r="D559" t="b">
        <v>1</v>
      </c>
      <c r="E559" t="s">
        <v>42</v>
      </c>
      <c r="F559">
        <v>0</v>
      </c>
      <c r="G559">
        <v>1</v>
      </c>
      <c r="H559" t="s">
        <v>836</v>
      </c>
      <c r="I559">
        <v>0</v>
      </c>
    </row>
    <row r="560" spans="1:13" x14ac:dyDescent="0.25">
      <c r="A560" t="s">
        <v>837</v>
      </c>
      <c r="B560" t="s">
        <v>5</v>
      </c>
      <c r="C560" t="s">
        <v>4</v>
      </c>
      <c r="D560" t="b">
        <v>0</v>
      </c>
      <c r="F560">
        <v>0</v>
      </c>
      <c r="G560">
        <v>1</v>
      </c>
      <c r="H560" t="s">
        <v>838</v>
      </c>
      <c r="I560">
        <v>0</v>
      </c>
    </row>
    <row r="561" spans="1:52" x14ac:dyDescent="0.25">
      <c r="A561" t="s">
        <v>839</v>
      </c>
      <c r="B561" t="s">
        <v>837</v>
      </c>
      <c r="C561" t="s">
        <v>5</v>
      </c>
      <c r="D561" t="b">
        <v>0</v>
      </c>
      <c r="F561">
        <v>0</v>
      </c>
      <c r="G561">
        <v>1</v>
      </c>
      <c r="H561" t="s">
        <v>840</v>
      </c>
      <c r="I561">
        <v>0</v>
      </c>
    </row>
    <row r="562" spans="1:52" x14ac:dyDescent="0.25">
      <c r="A562" t="s">
        <v>841</v>
      </c>
      <c r="B562" t="s">
        <v>839</v>
      </c>
      <c r="C562" t="s">
        <v>837</v>
      </c>
      <c r="D562" t="b">
        <v>0</v>
      </c>
      <c r="F562">
        <v>1</v>
      </c>
      <c r="G562" t="s">
        <v>125</v>
      </c>
      <c r="H562" t="s">
        <v>842</v>
      </c>
      <c r="I562">
        <v>0</v>
      </c>
    </row>
    <row r="563" spans="1:52" x14ac:dyDescent="0.25">
      <c r="A563" t="s">
        <v>843</v>
      </c>
      <c r="B563" t="s">
        <v>841</v>
      </c>
      <c r="C563" t="s">
        <v>839</v>
      </c>
      <c r="D563" t="b">
        <v>1</v>
      </c>
      <c r="E563" t="s">
        <v>152</v>
      </c>
      <c r="F563">
        <v>1</v>
      </c>
      <c r="G563">
        <v>1</v>
      </c>
      <c r="H563" t="s">
        <v>844</v>
      </c>
      <c r="I563">
        <v>0</v>
      </c>
    </row>
    <row r="564" spans="1:52" x14ac:dyDescent="0.25">
      <c r="A564" t="s">
        <v>845</v>
      </c>
      <c r="B564" t="s">
        <v>841</v>
      </c>
      <c r="C564" t="s">
        <v>839</v>
      </c>
      <c r="D564" t="b">
        <v>1</v>
      </c>
      <c r="E564" t="s">
        <v>152</v>
      </c>
      <c r="F564">
        <v>1</v>
      </c>
      <c r="G564">
        <v>1</v>
      </c>
      <c r="H564" t="s">
        <v>846</v>
      </c>
      <c r="I564">
        <v>0</v>
      </c>
    </row>
    <row r="565" spans="1:52" x14ac:dyDescent="0.25">
      <c r="A565" t="s">
        <v>847</v>
      </c>
      <c r="B565" t="s">
        <v>841</v>
      </c>
      <c r="C565" t="s">
        <v>839</v>
      </c>
      <c r="D565" t="b">
        <v>1</v>
      </c>
      <c r="E565" t="s">
        <v>42</v>
      </c>
      <c r="F565">
        <v>1</v>
      </c>
      <c r="G565">
        <v>1</v>
      </c>
      <c r="H565" t="s">
        <v>848</v>
      </c>
      <c r="I565">
        <v>0</v>
      </c>
    </row>
    <row r="566" spans="1:52" x14ac:dyDescent="0.25">
      <c r="A566" t="s">
        <v>849</v>
      </c>
      <c r="B566" t="s">
        <v>5</v>
      </c>
      <c r="C566" t="s">
        <v>4</v>
      </c>
      <c r="D566" t="b">
        <v>0</v>
      </c>
      <c r="F566">
        <v>0</v>
      </c>
      <c r="G566">
        <v>1</v>
      </c>
      <c r="H566" t="s">
        <v>850</v>
      </c>
      <c r="I566">
        <v>0</v>
      </c>
    </row>
    <row r="567" spans="1:52" x14ac:dyDescent="0.25">
      <c r="A567" t="s">
        <v>851</v>
      </c>
      <c r="B567" t="s">
        <v>849</v>
      </c>
      <c r="C567" t="s">
        <v>5</v>
      </c>
      <c r="D567" t="b">
        <v>1</v>
      </c>
      <c r="E567" t="s">
        <v>33</v>
      </c>
      <c r="F567">
        <v>1</v>
      </c>
      <c r="G567" t="s">
        <v>125</v>
      </c>
      <c r="H567" t="s">
        <v>29</v>
      </c>
      <c r="I567">
        <v>37</v>
      </c>
      <c r="J567" t="s">
        <v>1278</v>
      </c>
      <c r="K567" t="s">
        <v>1279</v>
      </c>
      <c r="L567" t="s">
        <v>1280</v>
      </c>
      <c r="M567" t="s">
        <v>1281</v>
      </c>
      <c r="N567" t="s">
        <v>1282</v>
      </c>
      <c r="O567" t="s">
        <v>1283</v>
      </c>
      <c r="P567" t="s">
        <v>1284</v>
      </c>
      <c r="Q567" t="s">
        <v>1285</v>
      </c>
      <c r="R567" t="s">
        <v>1286</v>
      </c>
      <c r="S567" t="s">
        <v>1287</v>
      </c>
      <c r="T567" t="s">
        <v>1288</v>
      </c>
      <c r="U567" t="s">
        <v>1289</v>
      </c>
      <c r="V567" t="s">
        <v>1290</v>
      </c>
      <c r="W567" t="s">
        <v>1291</v>
      </c>
      <c r="X567" t="s">
        <v>1292</v>
      </c>
      <c r="Y567" t="s">
        <v>1293</v>
      </c>
      <c r="Z567" t="s">
        <v>1294</v>
      </c>
      <c r="AA567" t="s">
        <v>1295</v>
      </c>
      <c r="AB567" t="s">
        <v>1296</v>
      </c>
      <c r="AC567" t="s">
        <v>1297</v>
      </c>
      <c r="AD567" t="s">
        <v>1298</v>
      </c>
      <c r="AE567" t="s">
        <v>1299</v>
      </c>
      <c r="AF567" t="s">
        <v>1300</v>
      </c>
      <c r="AG567" t="s">
        <v>1301</v>
      </c>
      <c r="AH567" t="s">
        <v>1302</v>
      </c>
      <c r="AI567" t="s">
        <v>1303</v>
      </c>
      <c r="AJ567" t="s">
        <v>1304</v>
      </c>
      <c r="AK567" t="s">
        <v>1305</v>
      </c>
      <c r="AL567" t="s">
        <v>1306</v>
      </c>
      <c r="AM567" t="s">
        <v>1307</v>
      </c>
      <c r="AN567" t="s">
        <v>1308</v>
      </c>
      <c r="AO567" t="s">
        <v>1309</v>
      </c>
      <c r="AP567" t="s">
        <v>1310</v>
      </c>
      <c r="AQ567" t="s">
        <v>1311</v>
      </c>
      <c r="AR567" t="s">
        <v>1312</v>
      </c>
      <c r="AS567" t="s">
        <v>1313</v>
      </c>
      <c r="AT567" t="s">
        <v>1314</v>
      </c>
    </row>
    <row r="568" spans="1:52" x14ac:dyDescent="0.25">
      <c r="A568" t="s">
        <v>852</v>
      </c>
      <c r="B568" t="s">
        <v>5</v>
      </c>
      <c r="C568" t="s">
        <v>4</v>
      </c>
      <c r="D568" t="b">
        <v>0</v>
      </c>
      <c r="F568">
        <v>0</v>
      </c>
      <c r="G568">
        <v>1</v>
      </c>
      <c r="H568" t="s">
        <v>29</v>
      </c>
      <c r="I568">
        <v>0</v>
      </c>
    </row>
    <row r="569" spans="1:52" x14ac:dyDescent="0.25">
      <c r="A569" t="s">
        <v>853</v>
      </c>
      <c r="B569" t="s">
        <v>852</v>
      </c>
      <c r="C569" t="s">
        <v>5</v>
      </c>
      <c r="D569" t="b">
        <v>1</v>
      </c>
      <c r="E569" t="s">
        <v>33</v>
      </c>
      <c r="F569">
        <v>1</v>
      </c>
      <c r="G569">
        <v>1</v>
      </c>
      <c r="H569" t="s">
        <v>854</v>
      </c>
      <c r="I569">
        <v>4</v>
      </c>
      <c r="J569" t="s">
        <v>1751</v>
      </c>
      <c r="K569" t="s">
        <v>1752</v>
      </c>
      <c r="L569" t="s">
        <v>1753</v>
      </c>
      <c r="M569" t="s">
        <v>1754</v>
      </c>
    </row>
    <row r="570" spans="1:52" x14ac:dyDescent="0.25">
      <c r="A570" t="s">
        <v>855</v>
      </c>
      <c r="B570" t="s">
        <v>852</v>
      </c>
      <c r="C570" t="s">
        <v>5</v>
      </c>
      <c r="D570" t="b">
        <v>1</v>
      </c>
      <c r="E570" t="s">
        <v>42</v>
      </c>
      <c r="F570">
        <v>1</v>
      </c>
      <c r="G570">
        <v>1</v>
      </c>
      <c r="H570" t="s">
        <v>856</v>
      </c>
      <c r="I570">
        <v>0</v>
      </c>
    </row>
    <row r="571" spans="1:52" x14ac:dyDescent="0.25">
      <c r="A571" t="s">
        <v>857</v>
      </c>
      <c r="B571" t="s">
        <v>5</v>
      </c>
      <c r="C571" t="s">
        <v>4</v>
      </c>
      <c r="D571" t="b">
        <v>0</v>
      </c>
      <c r="F571">
        <v>0</v>
      </c>
      <c r="G571">
        <v>1</v>
      </c>
      <c r="H571" t="s">
        <v>29</v>
      </c>
      <c r="I571">
        <v>0</v>
      </c>
    </row>
    <row r="572" spans="1:52" x14ac:dyDescent="0.25">
      <c r="A572" t="s">
        <v>858</v>
      </c>
      <c r="B572" t="s">
        <v>857</v>
      </c>
      <c r="C572" t="s">
        <v>5</v>
      </c>
      <c r="D572" t="b">
        <v>0</v>
      </c>
      <c r="F572">
        <v>1</v>
      </c>
      <c r="G572" t="s">
        <v>125</v>
      </c>
      <c r="H572" t="s">
        <v>29</v>
      </c>
      <c r="I572">
        <v>0</v>
      </c>
    </row>
    <row r="573" spans="1:52" x14ac:dyDescent="0.25">
      <c r="A573" t="s">
        <v>126</v>
      </c>
      <c r="B573" t="s">
        <v>858</v>
      </c>
      <c r="C573" t="s">
        <v>857</v>
      </c>
      <c r="D573" t="b">
        <v>1</v>
      </c>
      <c r="E573" t="s">
        <v>33</v>
      </c>
      <c r="F573">
        <v>1</v>
      </c>
      <c r="G573">
        <v>1</v>
      </c>
      <c r="H573" t="s">
        <v>29</v>
      </c>
      <c r="I573">
        <v>0</v>
      </c>
    </row>
    <row r="574" spans="1:52" x14ac:dyDescent="0.25">
      <c r="A574" t="s">
        <v>859</v>
      </c>
      <c r="B574" t="s">
        <v>858</v>
      </c>
      <c r="C574" t="s">
        <v>857</v>
      </c>
      <c r="D574" t="b">
        <v>0</v>
      </c>
      <c r="F574">
        <v>1</v>
      </c>
      <c r="G574">
        <v>1</v>
      </c>
      <c r="H574" t="s">
        <v>29</v>
      </c>
      <c r="I574">
        <v>0</v>
      </c>
    </row>
    <row r="575" spans="1:52" x14ac:dyDescent="0.25">
      <c r="A575" t="s">
        <v>296</v>
      </c>
      <c r="B575" t="s">
        <v>859</v>
      </c>
      <c r="C575" t="s">
        <v>858</v>
      </c>
      <c r="D575" t="b">
        <v>1</v>
      </c>
      <c r="E575" t="s">
        <v>152</v>
      </c>
      <c r="F575">
        <v>1</v>
      </c>
      <c r="G575">
        <v>1</v>
      </c>
      <c r="H575" t="s">
        <v>860</v>
      </c>
      <c r="I575">
        <v>0</v>
      </c>
    </row>
    <row r="576" spans="1:52" x14ac:dyDescent="0.25">
      <c r="A576" t="s">
        <v>297</v>
      </c>
      <c r="B576" t="s">
        <v>859</v>
      </c>
      <c r="C576" t="s">
        <v>858</v>
      </c>
      <c r="D576" t="b">
        <v>1</v>
      </c>
      <c r="E576" t="s">
        <v>33</v>
      </c>
      <c r="F576">
        <v>0</v>
      </c>
      <c r="G576">
        <v>1</v>
      </c>
      <c r="H576" t="s">
        <v>29</v>
      </c>
      <c r="I576">
        <v>43</v>
      </c>
      <c r="J576" t="s">
        <v>916</v>
      </c>
      <c r="K576" t="s">
        <v>1417</v>
      </c>
      <c r="L576" t="s">
        <v>1418</v>
      </c>
      <c r="M576" t="s">
        <v>1419</v>
      </c>
      <c r="N576" t="s">
        <v>1420</v>
      </c>
      <c r="O576" t="s">
        <v>1421</v>
      </c>
      <c r="P576" t="s">
        <v>1422</v>
      </c>
      <c r="Q576" t="s">
        <v>1423</v>
      </c>
      <c r="R576" t="s">
        <v>1424</v>
      </c>
      <c r="S576" t="s">
        <v>1425</v>
      </c>
      <c r="T576" t="s">
        <v>1426</v>
      </c>
      <c r="U576" t="s">
        <v>1427</v>
      </c>
      <c r="V576" t="s">
        <v>1428</v>
      </c>
      <c r="W576" t="s">
        <v>1429</v>
      </c>
      <c r="X576" t="s">
        <v>1430</v>
      </c>
      <c r="Y576" t="s">
        <v>1431</v>
      </c>
      <c r="Z576" t="s">
        <v>1432</v>
      </c>
      <c r="AA576" t="s">
        <v>1433</v>
      </c>
      <c r="AB576" t="s">
        <v>1434</v>
      </c>
      <c r="AC576" t="s">
        <v>1435</v>
      </c>
      <c r="AD576" t="s">
        <v>1436</v>
      </c>
      <c r="AE576" t="s">
        <v>1437</v>
      </c>
      <c r="AF576" t="s">
        <v>1438</v>
      </c>
      <c r="AG576" t="s">
        <v>1439</v>
      </c>
      <c r="AH576" t="s">
        <v>1440</v>
      </c>
      <c r="AI576" t="s">
        <v>1441</v>
      </c>
      <c r="AJ576" t="s">
        <v>1442</v>
      </c>
      <c r="AK576" t="s">
        <v>1443</v>
      </c>
      <c r="AL576" t="s">
        <v>1444</v>
      </c>
      <c r="AM576" t="s">
        <v>1445</v>
      </c>
      <c r="AN576" t="s">
        <v>1446</v>
      </c>
      <c r="AO576" t="s">
        <v>1447</v>
      </c>
      <c r="AP576" t="s">
        <v>1448</v>
      </c>
      <c r="AQ576" t="s">
        <v>1449</v>
      </c>
      <c r="AR576" t="s">
        <v>1450</v>
      </c>
      <c r="AS576" t="s">
        <v>1451</v>
      </c>
      <c r="AT576" t="s">
        <v>1452</v>
      </c>
      <c r="AU576" t="s">
        <v>1453</v>
      </c>
      <c r="AV576" t="s">
        <v>1454</v>
      </c>
      <c r="AW576" t="s">
        <v>1455</v>
      </c>
      <c r="AX576" t="s">
        <v>1456</v>
      </c>
      <c r="AY576" t="s">
        <v>1457</v>
      </c>
      <c r="AZ576" t="s">
        <v>1458</v>
      </c>
    </row>
    <row r="577" spans="1:52" x14ac:dyDescent="0.25">
      <c r="A577" t="s">
        <v>298</v>
      </c>
      <c r="B577" t="s">
        <v>859</v>
      </c>
      <c r="C577" t="s">
        <v>858</v>
      </c>
      <c r="D577" t="b">
        <v>1</v>
      </c>
      <c r="E577" t="s">
        <v>152</v>
      </c>
      <c r="F577">
        <v>1</v>
      </c>
      <c r="G577">
        <v>1</v>
      </c>
      <c r="H577" t="s">
        <v>861</v>
      </c>
      <c r="I577">
        <v>0</v>
      </c>
    </row>
    <row r="578" spans="1:52" x14ac:dyDescent="0.25">
      <c r="A578" t="s">
        <v>299</v>
      </c>
      <c r="B578" t="s">
        <v>859</v>
      </c>
      <c r="C578" t="s">
        <v>858</v>
      </c>
      <c r="D578" t="b">
        <v>1</v>
      </c>
      <c r="E578" t="s">
        <v>33</v>
      </c>
      <c r="F578">
        <v>0</v>
      </c>
      <c r="G578">
        <v>1</v>
      </c>
      <c r="H578" t="s">
        <v>29</v>
      </c>
      <c r="I578">
        <v>43</v>
      </c>
      <c r="J578" t="s">
        <v>916</v>
      </c>
      <c r="K578" t="s">
        <v>1417</v>
      </c>
      <c r="L578" t="s">
        <v>1418</v>
      </c>
      <c r="M578" t="s">
        <v>1419</v>
      </c>
      <c r="N578" t="s">
        <v>1420</v>
      </c>
      <c r="O578" t="s">
        <v>1421</v>
      </c>
      <c r="P578" t="s">
        <v>1422</v>
      </c>
      <c r="Q578" t="s">
        <v>1423</v>
      </c>
      <c r="R578" t="s">
        <v>1424</v>
      </c>
      <c r="S578" t="s">
        <v>1425</v>
      </c>
      <c r="T578" t="s">
        <v>1426</v>
      </c>
      <c r="U578" t="s">
        <v>1427</v>
      </c>
      <c r="V578" t="s">
        <v>1428</v>
      </c>
      <c r="W578" t="s">
        <v>1429</v>
      </c>
      <c r="X578" t="s">
        <v>1430</v>
      </c>
      <c r="Y578" t="s">
        <v>1431</v>
      </c>
      <c r="Z578" t="s">
        <v>1432</v>
      </c>
      <c r="AA578" t="s">
        <v>1433</v>
      </c>
      <c r="AB578" t="s">
        <v>1434</v>
      </c>
      <c r="AC578" t="s">
        <v>1435</v>
      </c>
      <c r="AD578" t="s">
        <v>1436</v>
      </c>
      <c r="AE578" t="s">
        <v>1437</v>
      </c>
      <c r="AF578" t="s">
        <v>1438</v>
      </c>
      <c r="AG578" t="s">
        <v>1439</v>
      </c>
      <c r="AH578" t="s">
        <v>1440</v>
      </c>
      <c r="AI578" t="s">
        <v>1441</v>
      </c>
      <c r="AJ578" t="s">
        <v>1442</v>
      </c>
      <c r="AK578" t="s">
        <v>1443</v>
      </c>
      <c r="AL578" t="s">
        <v>1444</v>
      </c>
      <c r="AM578" t="s">
        <v>1445</v>
      </c>
      <c r="AN578" t="s">
        <v>1446</v>
      </c>
      <c r="AO578" t="s">
        <v>1447</v>
      </c>
      <c r="AP578" t="s">
        <v>1448</v>
      </c>
      <c r="AQ578" t="s">
        <v>1449</v>
      </c>
      <c r="AR578" t="s">
        <v>1450</v>
      </c>
      <c r="AS578" t="s">
        <v>1451</v>
      </c>
      <c r="AT578" t="s">
        <v>1452</v>
      </c>
      <c r="AU578" t="s">
        <v>1453</v>
      </c>
      <c r="AV578" t="s">
        <v>1454</v>
      </c>
      <c r="AW578" t="s">
        <v>1455</v>
      </c>
      <c r="AX578" t="s">
        <v>1456</v>
      </c>
      <c r="AY578" t="s">
        <v>1457</v>
      </c>
      <c r="AZ578" t="s">
        <v>1458</v>
      </c>
    </row>
    <row r="579" spans="1:52" x14ac:dyDescent="0.25">
      <c r="A579" t="s">
        <v>862</v>
      </c>
      <c r="B579" t="s">
        <v>859</v>
      </c>
      <c r="C579" t="s">
        <v>858</v>
      </c>
      <c r="D579" t="b">
        <v>0</v>
      </c>
      <c r="F579">
        <v>0</v>
      </c>
      <c r="G579">
        <v>1</v>
      </c>
      <c r="H579" t="s">
        <v>863</v>
      </c>
      <c r="I579">
        <v>0</v>
      </c>
    </row>
    <row r="580" spans="1:52" x14ac:dyDescent="0.25">
      <c r="A580" t="s">
        <v>864</v>
      </c>
      <c r="B580" t="s">
        <v>862</v>
      </c>
      <c r="C580" t="s">
        <v>859</v>
      </c>
      <c r="D580" t="b">
        <v>0</v>
      </c>
      <c r="F580">
        <v>12</v>
      </c>
      <c r="G580">
        <v>12</v>
      </c>
      <c r="H580" t="s">
        <v>29</v>
      </c>
      <c r="I580">
        <v>0</v>
      </c>
    </row>
    <row r="581" spans="1:52" x14ac:dyDescent="0.25">
      <c r="A581" t="s">
        <v>865</v>
      </c>
      <c r="B581" t="s">
        <v>864</v>
      </c>
      <c r="C581" t="s">
        <v>862</v>
      </c>
      <c r="D581" t="b">
        <v>1</v>
      </c>
      <c r="E581" t="s">
        <v>33</v>
      </c>
      <c r="F581">
        <v>1</v>
      </c>
      <c r="G581">
        <v>1</v>
      </c>
      <c r="H581" t="s">
        <v>29</v>
      </c>
      <c r="I581">
        <v>12</v>
      </c>
      <c r="J581" t="s">
        <v>1567</v>
      </c>
      <c r="K581" t="s">
        <v>1568</v>
      </c>
      <c r="L581" t="s">
        <v>1569</v>
      </c>
      <c r="M581" t="s">
        <v>1570</v>
      </c>
      <c r="N581" t="s">
        <v>1571</v>
      </c>
      <c r="O581" t="s">
        <v>1572</v>
      </c>
      <c r="P581" t="s">
        <v>1573</v>
      </c>
      <c r="Q581" t="s">
        <v>1574</v>
      </c>
      <c r="R581" t="s">
        <v>1575</v>
      </c>
      <c r="S581" t="s">
        <v>1576</v>
      </c>
      <c r="T581" t="s">
        <v>1577</v>
      </c>
      <c r="U581" t="s">
        <v>1578</v>
      </c>
    </row>
    <row r="582" spans="1:52" x14ac:dyDescent="0.25">
      <c r="A582" t="s">
        <v>866</v>
      </c>
      <c r="B582" t="s">
        <v>864</v>
      </c>
      <c r="C582" t="s">
        <v>862</v>
      </c>
      <c r="D582" t="b">
        <v>1</v>
      </c>
      <c r="E582" t="s">
        <v>152</v>
      </c>
      <c r="F582">
        <v>1</v>
      </c>
      <c r="G582">
        <v>1</v>
      </c>
      <c r="H582" t="s">
        <v>867</v>
      </c>
      <c r="I582">
        <v>0</v>
      </c>
    </row>
    <row r="583" spans="1:52" x14ac:dyDescent="0.25">
      <c r="A583" t="s">
        <v>868</v>
      </c>
      <c r="B583" t="s">
        <v>858</v>
      </c>
      <c r="C583" t="s">
        <v>857</v>
      </c>
      <c r="D583" t="b">
        <v>0</v>
      </c>
      <c r="F583">
        <v>1</v>
      </c>
      <c r="G583">
        <v>1</v>
      </c>
      <c r="H583" t="s">
        <v>29</v>
      </c>
      <c r="I583">
        <v>0</v>
      </c>
    </row>
    <row r="584" spans="1:52" x14ac:dyDescent="0.25">
      <c r="A584" t="s">
        <v>869</v>
      </c>
      <c r="B584" t="s">
        <v>868</v>
      </c>
      <c r="C584" t="s">
        <v>858</v>
      </c>
      <c r="D584" t="b">
        <v>1</v>
      </c>
      <c r="E584" t="s">
        <v>152</v>
      </c>
      <c r="F584">
        <v>1</v>
      </c>
      <c r="G584">
        <v>1</v>
      </c>
      <c r="H584" t="s">
        <v>870</v>
      </c>
      <c r="I584">
        <v>0</v>
      </c>
    </row>
    <row r="585" spans="1:52" x14ac:dyDescent="0.25">
      <c r="A585" t="s">
        <v>871</v>
      </c>
      <c r="B585" t="s">
        <v>868</v>
      </c>
      <c r="C585" t="s">
        <v>858</v>
      </c>
      <c r="D585" t="b">
        <v>1</v>
      </c>
      <c r="E585" t="s">
        <v>152</v>
      </c>
      <c r="F585">
        <v>1</v>
      </c>
      <c r="G585">
        <v>1</v>
      </c>
      <c r="H585" t="s">
        <v>872</v>
      </c>
      <c r="I585">
        <v>0</v>
      </c>
    </row>
    <row r="586" spans="1:52" x14ac:dyDescent="0.25">
      <c r="A586" t="s">
        <v>873</v>
      </c>
      <c r="B586" t="s">
        <v>5</v>
      </c>
      <c r="C586" t="s">
        <v>4</v>
      </c>
      <c r="D586" t="b">
        <v>1</v>
      </c>
      <c r="E586" t="s">
        <v>33</v>
      </c>
      <c r="F586">
        <v>0</v>
      </c>
      <c r="G586">
        <v>1</v>
      </c>
      <c r="H586" t="s">
        <v>874</v>
      </c>
      <c r="I586">
        <v>1</v>
      </c>
      <c r="J586" t="s">
        <v>573</v>
      </c>
    </row>
    <row r="587" spans="1:52" x14ac:dyDescent="0.25">
      <c r="A587" t="s">
        <v>875</v>
      </c>
      <c r="B587" t="s">
        <v>5</v>
      </c>
      <c r="C587" t="s">
        <v>4</v>
      </c>
      <c r="D587" t="b">
        <v>0</v>
      </c>
      <c r="F587">
        <v>0</v>
      </c>
      <c r="G587">
        <v>1</v>
      </c>
      <c r="H587" t="s">
        <v>29</v>
      </c>
      <c r="I587">
        <v>0</v>
      </c>
    </row>
    <row r="588" spans="1:52" x14ac:dyDescent="0.25">
      <c r="A588" t="s">
        <v>876</v>
      </c>
      <c r="B588" t="s">
        <v>875</v>
      </c>
      <c r="C588" t="s">
        <v>5</v>
      </c>
      <c r="D588" t="b">
        <v>1</v>
      </c>
      <c r="E588" t="s">
        <v>152</v>
      </c>
      <c r="F588">
        <v>0</v>
      </c>
      <c r="G588">
        <v>1</v>
      </c>
      <c r="H588" t="s">
        <v>29</v>
      </c>
      <c r="I588">
        <v>0</v>
      </c>
    </row>
    <row r="589" spans="1:52" x14ac:dyDescent="0.25">
      <c r="A589" t="s">
        <v>877</v>
      </c>
      <c r="B589" t="s">
        <v>875</v>
      </c>
      <c r="C589" t="s">
        <v>5</v>
      </c>
      <c r="D589" t="b">
        <v>1</v>
      </c>
      <c r="E589" t="s">
        <v>33</v>
      </c>
      <c r="F589">
        <v>0</v>
      </c>
      <c r="G589">
        <v>1</v>
      </c>
      <c r="H589" t="s">
        <v>29</v>
      </c>
      <c r="I589">
        <v>3</v>
      </c>
      <c r="J589" t="s">
        <v>1512</v>
      </c>
      <c r="K589" t="s">
        <v>1470</v>
      </c>
      <c r="L589" t="s">
        <v>921</v>
      </c>
    </row>
    <row r="590" spans="1:52" x14ac:dyDescent="0.25">
      <c r="A590" t="s">
        <v>878</v>
      </c>
      <c r="B590" t="s">
        <v>875</v>
      </c>
      <c r="C590" t="s">
        <v>5</v>
      </c>
      <c r="D590" t="b">
        <v>1</v>
      </c>
      <c r="E590" t="s">
        <v>33</v>
      </c>
      <c r="F590">
        <v>0</v>
      </c>
      <c r="G590">
        <v>1</v>
      </c>
      <c r="H590" t="s">
        <v>879</v>
      </c>
      <c r="I590">
        <v>12</v>
      </c>
      <c r="J590" t="s">
        <v>1755</v>
      </c>
      <c r="K590" t="s">
        <v>1756</v>
      </c>
      <c r="L590" t="s">
        <v>1757</v>
      </c>
      <c r="M590" t="s">
        <v>1758</v>
      </c>
      <c r="N590" t="s">
        <v>1759</v>
      </c>
      <c r="O590" t="s">
        <v>1760</v>
      </c>
      <c r="P590" t="s">
        <v>1761</v>
      </c>
      <c r="Q590" t="s">
        <v>1762</v>
      </c>
      <c r="R590" t="s">
        <v>1763</v>
      </c>
      <c r="S590" t="s">
        <v>1764</v>
      </c>
      <c r="T590" t="s">
        <v>1765</v>
      </c>
      <c r="U590" t="s">
        <v>1766</v>
      </c>
    </row>
    <row r="591" spans="1:52" x14ac:dyDescent="0.25">
      <c r="A591" t="s">
        <v>880</v>
      </c>
      <c r="B591" t="s">
        <v>875</v>
      </c>
      <c r="C591" t="s">
        <v>5</v>
      </c>
      <c r="D591" t="b">
        <v>1</v>
      </c>
      <c r="E591" t="s">
        <v>152</v>
      </c>
      <c r="F591">
        <v>0</v>
      </c>
      <c r="G591">
        <v>1</v>
      </c>
      <c r="H591" t="s">
        <v>881</v>
      </c>
      <c r="I591">
        <v>0</v>
      </c>
    </row>
    <row r="592" spans="1:52" x14ac:dyDescent="0.25">
      <c r="A592" t="s">
        <v>882</v>
      </c>
      <c r="B592" t="s">
        <v>30</v>
      </c>
      <c r="C592" t="s">
        <v>28</v>
      </c>
      <c r="D592" t="b">
        <v>1</v>
      </c>
      <c r="E592" t="s">
        <v>883</v>
      </c>
      <c r="F592">
        <v>0</v>
      </c>
      <c r="G592">
        <v>1</v>
      </c>
      <c r="H592" t="s">
        <v>884</v>
      </c>
      <c r="I592">
        <v>0</v>
      </c>
    </row>
    <row r="593" spans="1:13" x14ac:dyDescent="0.25">
      <c r="A593" t="s">
        <v>885</v>
      </c>
      <c r="B593" t="s">
        <v>30</v>
      </c>
      <c r="C593" t="s">
        <v>28</v>
      </c>
      <c r="D593" t="b">
        <v>0</v>
      </c>
      <c r="F593">
        <v>0</v>
      </c>
      <c r="G593">
        <v>1</v>
      </c>
      <c r="H593" t="s">
        <v>886</v>
      </c>
      <c r="I593">
        <v>0</v>
      </c>
    </row>
    <row r="594" spans="1:13" x14ac:dyDescent="0.25">
      <c r="A594" t="s">
        <v>887</v>
      </c>
      <c r="B594" t="s">
        <v>885</v>
      </c>
      <c r="C594" t="s">
        <v>30</v>
      </c>
      <c r="D594" t="b">
        <v>1</v>
      </c>
      <c r="E594" t="s">
        <v>33</v>
      </c>
      <c r="F594">
        <v>1</v>
      </c>
      <c r="G594">
        <v>1</v>
      </c>
      <c r="H594" t="s">
        <v>888</v>
      </c>
      <c r="I594">
        <v>0</v>
      </c>
    </row>
    <row r="595" spans="1:13" x14ac:dyDescent="0.25">
      <c r="A595" t="s">
        <v>889</v>
      </c>
      <c r="B595" t="s">
        <v>885</v>
      </c>
      <c r="C595" t="s">
        <v>30</v>
      </c>
      <c r="D595" t="b">
        <v>1</v>
      </c>
      <c r="E595" t="s">
        <v>33</v>
      </c>
      <c r="F595">
        <v>1</v>
      </c>
      <c r="G595">
        <v>1</v>
      </c>
      <c r="H595" t="s">
        <v>890</v>
      </c>
      <c r="I595">
        <v>0</v>
      </c>
    </row>
    <row r="596" spans="1:13" x14ac:dyDescent="0.25">
      <c r="A596" t="s">
        <v>891</v>
      </c>
      <c r="B596" t="s">
        <v>885</v>
      </c>
      <c r="C596" t="s">
        <v>30</v>
      </c>
      <c r="D596" t="b">
        <v>1</v>
      </c>
      <c r="E596" t="s">
        <v>55</v>
      </c>
      <c r="F596">
        <v>1</v>
      </c>
      <c r="G596">
        <v>1</v>
      </c>
      <c r="H596" t="s">
        <v>892</v>
      </c>
      <c r="I596">
        <v>0</v>
      </c>
    </row>
    <row r="597" spans="1:13" x14ac:dyDescent="0.25">
      <c r="A597" t="s">
        <v>893</v>
      </c>
      <c r="B597" t="s">
        <v>885</v>
      </c>
      <c r="C597" t="s">
        <v>30</v>
      </c>
      <c r="D597" t="b">
        <v>1</v>
      </c>
      <c r="E597" t="s">
        <v>55</v>
      </c>
      <c r="F597">
        <v>1</v>
      </c>
      <c r="G597">
        <v>1</v>
      </c>
      <c r="H597" t="s">
        <v>894</v>
      </c>
      <c r="I597">
        <v>0</v>
      </c>
    </row>
    <row r="598" spans="1:13" x14ac:dyDescent="0.25">
      <c r="A598" t="s">
        <v>895</v>
      </c>
      <c r="B598" t="s">
        <v>885</v>
      </c>
      <c r="C598" t="s">
        <v>30</v>
      </c>
      <c r="D598" t="b">
        <v>1</v>
      </c>
      <c r="E598" t="s">
        <v>152</v>
      </c>
      <c r="F598">
        <v>1</v>
      </c>
      <c r="G598">
        <v>1</v>
      </c>
      <c r="H598" t="s">
        <v>896</v>
      </c>
      <c r="I598">
        <v>0</v>
      </c>
    </row>
    <row r="599" spans="1:13" x14ac:dyDescent="0.25">
      <c r="A599" t="s">
        <v>897</v>
      </c>
      <c r="B599" t="s">
        <v>30</v>
      </c>
      <c r="C599" t="s">
        <v>28</v>
      </c>
      <c r="D599" t="b">
        <v>1</v>
      </c>
      <c r="E599" t="s">
        <v>33</v>
      </c>
      <c r="F599">
        <v>1</v>
      </c>
      <c r="G599">
        <v>1</v>
      </c>
      <c r="H599" t="s">
        <v>898</v>
      </c>
      <c r="I599">
        <v>0</v>
      </c>
    </row>
    <row r="600" spans="1:13" x14ac:dyDescent="0.25">
      <c r="A600" t="s">
        <v>899</v>
      </c>
      <c r="B600" t="s">
        <v>28</v>
      </c>
      <c r="D600" t="b">
        <v>1</v>
      </c>
      <c r="E600" t="s">
        <v>33</v>
      </c>
      <c r="F600">
        <v>1</v>
      </c>
      <c r="G600">
        <v>1</v>
      </c>
      <c r="H600" t="s">
        <v>900</v>
      </c>
      <c r="I600">
        <v>0</v>
      </c>
    </row>
    <row r="601" spans="1:13" x14ac:dyDescent="0.25">
      <c r="A601" t="s">
        <v>901</v>
      </c>
      <c r="B601" t="s">
        <v>28</v>
      </c>
      <c r="D601" t="b">
        <v>1</v>
      </c>
      <c r="E601" t="s">
        <v>33</v>
      </c>
      <c r="F601">
        <v>1</v>
      </c>
      <c r="G601">
        <v>1</v>
      </c>
      <c r="H601" t="s">
        <v>902</v>
      </c>
      <c r="I601">
        <v>0</v>
      </c>
    </row>
    <row r="602" spans="1:13" x14ac:dyDescent="0.25">
      <c r="A602" t="s">
        <v>903</v>
      </c>
      <c r="B602" t="s">
        <v>28</v>
      </c>
      <c r="D602" t="b">
        <v>0</v>
      </c>
      <c r="F602">
        <v>1</v>
      </c>
      <c r="G602">
        <v>1</v>
      </c>
      <c r="H602" t="s">
        <v>904</v>
      </c>
      <c r="I602">
        <v>0</v>
      </c>
    </row>
    <row r="603" spans="1:13" x14ac:dyDescent="0.25">
      <c r="A603" t="s">
        <v>80</v>
      </c>
      <c r="B603" t="s">
        <v>903</v>
      </c>
      <c r="C603" t="s">
        <v>28</v>
      </c>
      <c r="D603" t="b">
        <v>1</v>
      </c>
      <c r="E603" t="s">
        <v>33</v>
      </c>
      <c r="F603">
        <v>1</v>
      </c>
      <c r="G603">
        <v>1</v>
      </c>
      <c r="H603" t="s">
        <v>29</v>
      </c>
      <c r="I603">
        <v>0</v>
      </c>
    </row>
    <row r="604" spans="1:13" x14ac:dyDescent="0.25">
      <c r="A604" t="s">
        <v>81</v>
      </c>
      <c r="B604" t="s">
        <v>903</v>
      </c>
      <c r="C604" t="s">
        <v>28</v>
      </c>
      <c r="D604" t="b">
        <v>1</v>
      </c>
      <c r="E604" t="s">
        <v>33</v>
      </c>
      <c r="F604">
        <v>0</v>
      </c>
      <c r="G604">
        <v>1</v>
      </c>
      <c r="H604" t="s">
        <v>29</v>
      </c>
      <c r="I604">
        <v>0</v>
      </c>
    </row>
    <row r="605" spans="1:13" x14ac:dyDescent="0.25">
      <c r="A605" t="s">
        <v>82</v>
      </c>
      <c r="B605" t="s">
        <v>903</v>
      </c>
      <c r="C605" t="s">
        <v>28</v>
      </c>
      <c r="D605" t="b">
        <v>1</v>
      </c>
      <c r="E605" t="s">
        <v>33</v>
      </c>
      <c r="F605">
        <v>0</v>
      </c>
      <c r="G605">
        <v>1</v>
      </c>
      <c r="H605" t="s">
        <v>29</v>
      </c>
      <c r="I605">
        <v>0</v>
      </c>
    </row>
    <row r="606" spans="1:13" x14ac:dyDescent="0.25">
      <c r="A606" t="s">
        <v>83</v>
      </c>
      <c r="B606" t="s">
        <v>903</v>
      </c>
      <c r="C606" t="s">
        <v>28</v>
      </c>
      <c r="D606" t="b">
        <v>1</v>
      </c>
      <c r="E606" t="s">
        <v>33</v>
      </c>
      <c r="F606">
        <v>1</v>
      </c>
      <c r="G606">
        <v>1</v>
      </c>
      <c r="H606" t="s">
        <v>29</v>
      </c>
      <c r="I606">
        <v>0</v>
      </c>
    </row>
    <row r="607" spans="1:13" x14ac:dyDescent="0.25">
      <c r="A607" t="s">
        <v>84</v>
      </c>
      <c r="B607" t="s">
        <v>903</v>
      </c>
      <c r="C607" t="s">
        <v>28</v>
      </c>
      <c r="D607" t="b">
        <v>1</v>
      </c>
      <c r="E607" t="s">
        <v>33</v>
      </c>
      <c r="F607">
        <v>1</v>
      </c>
      <c r="G607">
        <v>1</v>
      </c>
      <c r="H607" t="s">
        <v>85</v>
      </c>
      <c r="I607">
        <v>0</v>
      </c>
    </row>
    <row r="608" spans="1:13" x14ac:dyDescent="0.25">
      <c r="A608" t="s">
        <v>905</v>
      </c>
      <c r="B608" t="s">
        <v>28</v>
      </c>
      <c r="D608" t="b">
        <v>1</v>
      </c>
      <c r="E608" t="s">
        <v>142</v>
      </c>
      <c r="F608">
        <v>0</v>
      </c>
      <c r="G608">
        <v>1</v>
      </c>
      <c r="H608" t="s">
        <v>906</v>
      </c>
      <c r="I608">
        <v>4</v>
      </c>
      <c r="J608" t="s">
        <v>1270</v>
      </c>
      <c r="K608" t="s">
        <v>918</v>
      </c>
      <c r="L608" t="s">
        <v>1271</v>
      </c>
      <c r="M608" t="s">
        <v>919</v>
      </c>
    </row>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1851</vt:i4>
      </vt:variant>
    </vt:vector>
  </HeadingPairs>
  <TitlesOfParts>
    <vt:vector size="1856" baseType="lpstr">
      <vt:lpstr>Cover_Sheet</vt:lpstr>
      <vt:lpstr>SAP10_Inputs</vt:lpstr>
      <vt:lpstr>SAP10_Results</vt:lpstr>
      <vt:lpstr>Authorization</vt:lpstr>
      <vt:lpstr>XMLSchema_Info</vt:lpstr>
      <vt:lpstr>authorization_token</vt:lpstr>
      <vt:lpstr>calculation_method</vt:lpstr>
      <vt:lpstr>closing_xml_tag_column</vt:lpstr>
      <vt:lpstr>day</vt:lpstr>
      <vt:lpstr>electricity_unit_price</vt:lpstr>
      <vt:lpstr>instantaneous_electric_showers_emission_factor_description</vt:lpstr>
      <vt:lpstr>lighting_emission_factor_description</vt:lpstr>
      <vt:lpstr>month</vt:lpstr>
      <vt:lpstr>opening_XML_tag_column</vt:lpstr>
      <vt:lpstr>pumps_fans_and_electric_keep_hot_emission_factor_description</vt:lpstr>
      <vt:lpstr>sap_22a_1</vt:lpstr>
      <vt:lpstr>sap_band</vt:lpstr>
      <vt:lpstr>schema_code0_column</vt:lpstr>
      <vt:lpstr>schema_data_type_column</vt:lpstr>
      <vt:lpstr>schema_documentation_column</vt:lpstr>
      <vt:lpstr>schema_element_name_column</vt:lpstr>
      <vt:lpstr>schema_grandparent_name_column</vt:lpstr>
      <vt:lpstr>schema_has_text_value_column</vt:lpstr>
      <vt:lpstr>schema_max_occurs_column</vt:lpstr>
      <vt:lpstr>schema_min_occurs_column</vt:lpstr>
      <vt:lpstr>schema_number_of_codes_column</vt:lpstr>
      <vt:lpstr>schema_number_of_codes_columns</vt:lpstr>
      <vt:lpstr>schema_parent_name_column</vt:lpstr>
      <vt:lpstr>space_cooling_emission_factor_description</vt:lpstr>
      <vt:lpstr>space_heating_main_heating_1_emission_factor_description</vt:lpstr>
      <vt:lpstr>space_heating_main_heating_2_emission_factor_description</vt:lpstr>
      <vt:lpstr>space_heating_main_system_1_high_rate_fuel_price</vt:lpstr>
      <vt:lpstr>space_heating_main_system_1_low_rate_fuel_price</vt:lpstr>
      <vt:lpstr>space_heating_main_system_1_other_fuel_price</vt:lpstr>
      <vt:lpstr>space_heating_main_system_2_high_rate_fuel_price</vt:lpstr>
      <vt:lpstr>space_heating_main_system_2_low_rate_fuel_price</vt:lpstr>
      <vt:lpstr>space_heating_main_system_2_other_fuel_price</vt:lpstr>
      <vt:lpstr>space_heating_secondary_emission_factor_description</vt:lpstr>
      <vt:lpstr>space_heating_secondary_heating_emission_factor_description</vt:lpstr>
      <vt:lpstr>space_heating_secondary_high_rate_fuel_price</vt:lpstr>
      <vt:lpstr>space_heating_secondary_low_rate_fuel_price</vt:lpstr>
      <vt:lpstr>space_heating_secondary_other_fuel_price</vt:lpstr>
      <vt:lpstr>total_value_6a_7c</vt:lpstr>
      <vt:lpstr>value_1_building_part_1_level_0</vt:lpstr>
      <vt:lpstr>value_1_building_part_1_level_1</vt:lpstr>
      <vt:lpstr>value_1_building_part_1_level_2</vt:lpstr>
      <vt:lpstr>value_1_building_part_1_level_3</vt:lpstr>
      <vt:lpstr>value_1_building_part_1_level_minus_1</vt:lpstr>
      <vt:lpstr>value_1_building_part_1_level_other</vt:lpstr>
      <vt:lpstr>value_10</vt:lpstr>
      <vt:lpstr>value_100_1</vt:lpstr>
      <vt:lpstr>value_100_10</vt:lpstr>
      <vt:lpstr>value_100_11</vt:lpstr>
      <vt:lpstr>value_100_12</vt:lpstr>
      <vt:lpstr>value_100_2</vt:lpstr>
      <vt:lpstr>value_100_3</vt:lpstr>
      <vt:lpstr>value_100_4</vt:lpstr>
      <vt:lpstr>value_100_5</vt:lpstr>
      <vt:lpstr>value_100_6</vt:lpstr>
      <vt:lpstr>value_100_7</vt:lpstr>
      <vt:lpstr>value_100_8</vt:lpstr>
      <vt:lpstr>value_100_9</vt:lpstr>
      <vt:lpstr>value_101_1</vt:lpstr>
      <vt:lpstr>value_101_10</vt:lpstr>
      <vt:lpstr>value_101_11</vt:lpstr>
      <vt:lpstr>value_101_12</vt:lpstr>
      <vt:lpstr>value_101_2</vt:lpstr>
      <vt:lpstr>value_101_3</vt:lpstr>
      <vt:lpstr>value_101_4</vt:lpstr>
      <vt:lpstr>value_101_5</vt:lpstr>
      <vt:lpstr>value_101_6</vt:lpstr>
      <vt:lpstr>value_101_7</vt:lpstr>
      <vt:lpstr>value_101_8</vt:lpstr>
      <vt:lpstr>value_101_9</vt:lpstr>
      <vt:lpstr>value_102_1</vt:lpstr>
      <vt:lpstr>value_102_10</vt:lpstr>
      <vt:lpstr>value_102_11</vt:lpstr>
      <vt:lpstr>value_102_12</vt:lpstr>
      <vt:lpstr>value_102_2</vt:lpstr>
      <vt:lpstr>value_102_3</vt:lpstr>
      <vt:lpstr>value_102_4</vt:lpstr>
      <vt:lpstr>value_102_5</vt:lpstr>
      <vt:lpstr>value_102_6</vt:lpstr>
      <vt:lpstr>value_102_7</vt:lpstr>
      <vt:lpstr>value_102_8</vt:lpstr>
      <vt:lpstr>value_102_9</vt:lpstr>
      <vt:lpstr>value_103_1</vt:lpstr>
      <vt:lpstr>value_103_10</vt:lpstr>
      <vt:lpstr>value_103_11</vt:lpstr>
      <vt:lpstr>value_103_12</vt:lpstr>
      <vt:lpstr>value_103_2</vt:lpstr>
      <vt:lpstr>value_103_3</vt:lpstr>
      <vt:lpstr>value_103_4</vt:lpstr>
      <vt:lpstr>value_103_5</vt:lpstr>
      <vt:lpstr>value_103_6</vt:lpstr>
      <vt:lpstr>value_103_7</vt:lpstr>
      <vt:lpstr>value_103_8</vt:lpstr>
      <vt:lpstr>value_103_9</vt:lpstr>
      <vt:lpstr>value_104</vt:lpstr>
      <vt:lpstr>value_104_1</vt:lpstr>
      <vt:lpstr>value_104_10</vt:lpstr>
      <vt:lpstr>value_104_11</vt:lpstr>
      <vt:lpstr>value_104_12</vt:lpstr>
      <vt:lpstr>value_104_2</vt:lpstr>
      <vt:lpstr>value_104_3</vt:lpstr>
      <vt:lpstr>value_104_4</vt:lpstr>
      <vt:lpstr>value_104_5</vt:lpstr>
      <vt:lpstr>value_104_6</vt:lpstr>
      <vt:lpstr>value_104_7</vt:lpstr>
      <vt:lpstr>value_104_8</vt:lpstr>
      <vt:lpstr>value_104_9</vt:lpstr>
      <vt:lpstr>value_105</vt:lpstr>
      <vt:lpstr>value_106</vt:lpstr>
      <vt:lpstr>value_106_1</vt:lpstr>
      <vt:lpstr>value_106_10</vt:lpstr>
      <vt:lpstr>value_106_11</vt:lpstr>
      <vt:lpstr>value_106_12</vt:lpstr>
      <vt:lpstr>value_106_2</vt:lpstr>
      <vt:lpstr>value_106_3</vt:lpstr>
      <vt:lpstr>value_106_4</vt:lpstr>
      <vt:lpstr>value_106_5</vt:lpstr>
      <vt:lpstr>value_106_6</vt:lpstr>
      <vt:lpstr>value_106_7</vt:lpstr>
      <vt:lpstr>value_106_8</vt:lpstr>
      <vt:lpstr>value_106_9</vt:lpstr>
      <vt:lpstr>value_107</vt:lpstr>
      <vt:lpstr>value_107_1</vt:lpstr>
      <vt:lpstr>value_107_10</vt:lpstr>
      <vt:lpstr>value_107_11</vt:lpstr>
      <vt:lpstr>value_107_12</vt:lpstr>
      <vt:lpstr>value_107_2</vt:lpstr>
      <vt:lpstr>value_107_3</vt:lpstr>
      <vt:lpstr>value_107_4</vt:lpstr>
      <vt:lpstr>value_107_5</vt:lpstr>
      <vt:lpstr>value_107_6</vt:lpstr>
      <vt:lpstr>value_107_7</vt:lpstr>
      <vt:lpstr>value_107_8</vt:lpstr>
      <vt:lpstr>value_107_9</vt:lpstr>
      <vt:lpstr>value_108</vt:lpstr>
      <vt:lpstr>value_11</vt:lpstr>
      <vt:lpstr>value_12</vt:lpstr>
      <vt:lpstr>value_13</vt:lpstr>
      <vt:lpstr>value_14</vt:lpstr>
      <vt:lpstr>value_15</vt:lpstr>
      <vt:lpstr>value_16</vt:lpstr>
      <vt:lpstr>value_17</vt:lpstr>
      <vt:lpstr>value_17a</vt:lpstr>
      <vt:lpstr>value_18</vt:lpstr>
      <vt:lpstr>value_19</vt:lpstr>
      <vt:lpstr>value_2_building_part_1_level_0</vt:lpstr>
      <vt:lpstr>value_2_building_part_1_level_1</vt:lpstr>
      <vt:lpstr>value_2_building_part_1_level_2</vt:lpstr>
      <vt:lpstr>value_2_building_part_1_level_3</vt:lpstr>
      <vt:lpstr>value_2_building_part_1_level_minus_1</vt:lpstr>
      <vt:lpstr>value_2_building_part_1_level_other</vt:lpstr>
      <vt:lpstr>value_20</vt:lpstr>
      <vt:lpstr>value_201</vt:lpstr>
      <vt:lpstr>value_202</vt:lpstr>
      <vt:lpstr>value_203</vt:lpstr>
      <vt:lpstr>value_204</vt:lpstr>
      <vt:lpstr>value_205</vt:lpstr>
      <vt:lpstr>value_206</vt:lpstr>
      <vt:lpstr>value_207</vt:lpstr>
      <vt:lpstr>value_208</vt:lpstr>
      <vt:lpstr>value_209</vt:lpstr>
      <vt:lpstr>value_21</vt:lpstr>
      <vt:lpstr>value_211</vt:lpstr>
      <vt:lpstr>value_211_1</vt:lpstr>
      <vt:lpstr>value_211_10</vt:lpstr>
      <vt:lpstr>value_211_11</vt:lpstr>
      <vt:lpstr>value_211_12</vt:lpstr>
      <vt:lpstr>value_211_2</vt:lpstr>
      <vt:lpstr>value_211_3</vt:lpstr>
      <vt:lpstr>value_211_4</vt:lpstr>
      <vt:lpstr>value_211_5</vt:lpstr>
      <vt:lpstr>value_211_6</vt:lpstr>
      <vt:lpstr>value_211_7</vt:lpstr>
      <vt:lpstr>value_211_8</vt:lpstr>
      <vt:lpstr>value_211_9</vt:lpstr>
      <vt:lpstr>value_213</vt:lpstr>
      <vt:lpstr>value_213_1</vt:lpstr>
      <vt:lpstr>value_213_10</vt:lpstr>
      <vt:lpstr>value_213_11</vt:lpstr>
      <vt:lpstr>value_213_12</vt:lpstr>
      <vt:lpstr>value_213_2</vt:lpstr>
      <vt:lpstr>value_213_3</vt:lpstr>
      <vt:lpstr>value_213_4</vt:lpstr>
      <vt:lpstr>value_213_5</vt:lpstr>
      <vt:lpstr>value_213_6</vt:lpstr>
      <vt:lpstr>value_213_7</vt:lpstr>
      <vt:lpstr>value_213_8</vt:lpstr>
      <vt:lpstr>value_213_9</vt:lpstr>
      <vt:lpstr>value_215</vt:lpstr>
      <vt:lpstr>value_215_1</vt:lpstr>
      <vt:lpstr>value_215_10</vt:lpstr>
      <vt:lpstr>value_215_11</vt:lpstr>
      <vt:lpstr>value_215_12</vt:lpstr>
      <vt:lpstr>value_215_2</vt:lpstr>
      <vt:lpstr>value_215_3</vt:lpstr>
      <vt:lpstr>value_215_4</vt:lpstr>
      <vt:lpstr>value_215_5</vt:lpstr>
      <vt:lpstr>value_215_6</vt:lpstr>
      <vt:lpstr>value_215_7</vt:lpstr>
      <vt:lpstr>value_215_8</vt:lpstr>
      <vt:lpstr>value_215_9</vt:lpstr>
      <vt:lpstr>value_217_1</vt:lpstr>
      <vt:lpstr>value_217_10</vt:lpstr>
      <vt:lpstr>value_217_11</vt:lpstr>
      <vt:lpstr>value_217_12</vt:lpstr>
      <vt:lpstr>value_217_2</vt:lpstr>
      <vt:lpstr>value_217_3</vt:lpstr>
      <vt:lpstr>value_217_4</vt:lpstr>
      <vt:lpstr>value_217_5</vt:lpstr>
      <vt:lpstr>value_217_6</vt:lpstr>
      <vt:lpstr>value_217_7</vt:lpstr>
      <vt:lpstr>value_217_8</vt:lpstr>
      <vt:lpstr>value_217_9</vt:lpstr>
      <vt:lpstr>value_219</vt:lpstr>
      <vt:lpstr>value_219_1</vt:lpstr>
      <vt:lpstr>value_219_10</vt:lpstr>
      <vt:lpstr>value_219_11</vt:lpstr>
      <vt:lpstr>value_219_12</vt:lpstr>
      <vt:lpstr>value_219_2</vt:lpstr>
      <vt:lpstr>value_219_3</vt:lpstr>
      <vt:lpstr>value_219_4</vt:lpstr>
      <vt:lpstr>value_219_5</vt:lpstr>
      <vt:lpstr>value_219_6</vt:lpstr>
      <vt:lpstr>value_219_7</vt:lpstr>
      <vt:lpstr>value_219_8</vt:lpstr>
      <vt:lpstr>value_219_9</vt:lpstr>
      <vt:lpstr>value_22_1</vt:lpstr>
      <vt:lpstr>value_22_10</vt:lpstr>
      <vt:lpstr>value_22_11</vt:lpstr>
      <vt:lpstr>value_22_12</vt:lpstr>
      <vt:lpstr>value_22_2</vt:lpstr>
      <vt:lpstr>value_22_3</vt:lpstr>
      <vt:lpstr>value_22_4</vt:lpstr>
      <vt:lpstr>value_22_5</vt:lpstr>
      <vt:lpstr>value_22_6</vt:lpstr>
      <vt:lpstr>value_22_7</vt:lpstr>
      <vt:lpstr>value_22_8</vt:lpstr>
      <vt:lpstr>value_22_9</vt:lpstr>
      <vt:lpstr>value_221</vt:lpstr>
      <vt:lpstr>value_221_1</vt:lpstr>
      <vt:lpstr>value_221_10</vt:lpstr>
      <vt:lpstr>value_221_11</vt:lpstr>
      <vt:lpstr>value_221_12</vt:lpstr>
      <vt:lpstr>value_221_2</vt:lpstr>
      <vt:lpstr>value_221_3</vt:lpstr>
      <vt:lpstr>value_221_4</vt:lpstr>
      <vt:lpstr>value_221_5</vt:lpstr>
      <vt:lpstr>value_221_6</vt:lpstr>
      <vt:lpstr>value_221_7</vt:lpstr>
      <vt:lpstr>value_221_8</vt:lpstr>
      <vt:lpstr>value_221_9</vt:lpstr>
      <vt:lpstr>value_22a_1</vt:lpstr>
      <vt:lpstr>value_22a_10</vt:lpstr>
      <vt:lpstr>value_22a_11</vt:lpstr>
      <vt:lpstr>value_22a_12</vt:lpstr>
      <vt:lpstr>value_22a_2</vt:lpstr>
      <vt:lpstr>value_22a_3</vt:lpstr>
      <vt:lpstr>value_22a_4</vt:lpstr>
      <vt:lpstr>value_22a_5</vt:lpstr>
      <vt:lpstr>value_22a_6</vt:lpstr>
      <vt:lpstr>value_22a_7</vt:lpstr>
      <vt:lpstr>value_22a_8</vt:lpstr>
      <vt:lpstr>value_22a_9</vt:lpstr>
      <vt:lpstr>value_22b_1</vt:lpstr>
      <vt:lpstr>value_22b_10</vt:lpstr>
      <vt:lpstr>value_22b_11</vt:lpstr>
      <vt:lpstr>value_22b_12</vt:lpstr>
      <vt:lpstr>value_22b_2</vt:lpstr>
      <vt:lpstr>value_22b_3</vt:lpstr>
      <vt:lpstr>value_22b_4</vt:lpstr>
      <vt:lpstr>value_22b_5</vt:lpstr>
      <vt:lpstr>value_22b_6</vt:lpstr>
      <vt:lpstr>value_22b_7</vt:lpstr>
      <vt:lpstr>value_22b_8</vt:lpstr>
      <vt:lpstr>value_22b_9</vt:lpstr>
      <vt:lpstr>value_23_net_area</vt:lpstr>
      <vt:lpstr>value_230a</vt:lpstr>
      <vt:lpstr>value_230b</vt:lpstr>
      <vt:lpstr>value_230c</vt:lpstr>
      <vt:lpstr>value_230d</vt:lpstr>
      <vt:lpstr>value_230e</vt:lpstr>
      <vt:lpstr>value_230f</vt:lpstr>
      <vt:lpstr>value_230g</vt:lpstr>
      <vt:lpstr>value_230h</vt:lpstr>
      <vt:lpstr>value_231</vt:lpstr>
      <vt:lpstr>value_232</vt:lpstr>
      <vt:lpstr>value_233a</vt:lpstr>
      <vt:lpstr>value_233a_1</vt:lpstr>
      <vt:lpstr>value_233a_10</vt:lpstr>
      <vt:lpstr>value_233a_11</vt:lpstr>
      <vt:lpstr>value_233a_12</vt:lpstr>
      <vt:lpstr>value_233a_2</vt:lpstr>
      <vt:lpstr>value_233a_3</vt:lpstr>
      <vt:lpstr>value_233a_4</vt:lpstr>
      <vt:lpstr>value_233a_5</vt:lpstr>
      <vt:lpstr>value_233a_6</vt:lpstr>
      <vt:lpstr>value_233a_7</vt:lpstr>
      <vt:lpstr>value_233a_8</vt:lpstr>
      <vt:lpstr>value_233a_9</vt:lpstr>
      <vt:lpstr>value_233b</vt:lpstr>
      <vt:lpstr>value_233b_1</vt:lpstr>
      <vt:lpstr>value_233b_10</vt:lpstr>
      <vt:lpstr>value_233b_11</vt:lpstr>
      <vt:lpstr>value_233b_12</vt:lpstr>
      <vt:lpstr>value_233b_2</vt:lpstr>
      <vt:lpstr>value_233b_3</vt:lpstr>
      <vt:lpstr>value_233b_4</vt:lpstr>
      <vt:lpstr>value_233b_5</vt:lpstr>
      <vt:lpstr>value_233b_6</vt:lpstr>
      <vt:lpstr>value_233b_7</vt:lpstr>
      <vt:lpstr>value_233b_8</vt:lpstr>
      <vt:lpstr>value_233b_9</vt:lpstr>
      <vt:lpstr>value_234a</vt:lpstr>
      <vt:lpstr>value_234a_1</vt:lpstr>
      <vt:lpstr>value_234a_10</vt:lpstr>
      <vt:lpstr>value_234a_11</vt:lpstr>
      <vt:lpstr>value_234a_12</vt:lpstr>
      <vt:lpstr>value_234a_2</vt:lpstr>
      <vt:lpstr>value_234a_3</vt:lpstr>
      <vt:lpstr>value_234a_4</vt:lpstr>
      <vt:lpstr>value_234a_5</vt:lpstr>
      <vt:lpstr>value_234a_6</vt:lpstr>
      <vt:lpstr>value_234a_7</vt:lpstr>
      <vt:lpstr>value_234a_8</vt:lpstr>
      <vt:lpstr>value_234a_9</vt:lpstr>
      <vt:lpstr>value_234b</vt:lpstr>
      <vt:lpstr>value_234b_1</vt:lpstr>
      <vt:lpstr>value_234b_10</vt:lpstr>
      <vt:lpstr>value_234b_11</vt:lpstr>
      <vt:lpstr>value_234b_12</vt:lpstr>
      <vt:lpstr>value_234b_2</vt:lpstr>
      <vt:lpstr>value_234b_3</vt:lpstr>
      <vt:lpstr>value_234b_4</vt:lpstr>
      <vt:lpstr>value_234b_5</vt:lpstr>
      <vt:lpstr>value_234b_6</vt:lpstr>
      <vt:lpstr>value_234b_7</vt:lpstr>
      <vt:lpstr>value_234b_8</vt:lpstr>
      <vt:lpstr>value_234b_9</vt:lpstr>
      <vt:lpstr>value_235a</vt:lpstr>
      <vt:lpstr>value_235a_1</vt:lpstr>
      <vt:lpstr>value_235a_10</vt:lpstr>
      <vt:lpstr>value_235a_11</vt:lpstr>
      <vt:lpstr>value_235a_12</vt:lpstr>
      <vt:lpstr>value_235a_2</vt:lpstr>
      <vt:lpstr>value_235a_3</vt:lpstr>
      <vt:lpstr>value_235a_4</vt:lpstr>
      <vt:lpstr>value_235a_5</vt:lpstr>
      <vt:lpstr>value_235a_6</vt:lpstr>
      <vt:lpstr>value_235a_7</vt:lpstr>
      <vt:lpstr>value_235a_8</vt:lpstr>
      <vt:lpstr>value_235a_9</vt:lpstr>
      <vt:lpstr>value_235b</vt:lpstr>
      <vt:lpstr>value_235b_1</vt:lpstr>
      <vt:lpstr>value_235b_10</vt:lpstr>
      <vt:lpstr>value_235b_11</vt:lpstr>
      <vt:lpstr>value_235b_12</vt:lpstr>
      <vt:lpstr>value_235b_2</vt:lpstr>
      <vt:lpstr>value_235b_3</vt:lpstr>
      <vt:lpstr>value_235b_4</vt:lpstr>
      <vt:lpstr>value_235b_5</vt:lpstr>
      <vt:lpstr>value_235b_6</vt:lpstr>
      <vt:lpstr>value_235b_7</vt:lpstr>
      <vt:lpstr>value_235b_8</vt:lpstr>
      <vt:lpstr>value_235b_9</vt:lpstr>
      <vt:lpstr>value_235c</vt:lpstr>
      <vt:lpstr>value_235c_1</vt:lpstr>
      <vt:lpstr>value_235c_10</vt:lpstr>
      <vt:lpstr>value_235c_11</vt:lpstr>
      <vt:lpstr>value_235c_12</vt:lpstr>
      <vt:lpstr>value_235c_2</vt:lpstr>
      <vt:lpstr>value_235c_3</vt:lpstr>
      <vt:lpstr>value_235c_4</vt:lpstr>
      <vt:lpstr>value_235c_5</vt:lpstr>
      <vt:lpstr>value_235c_6</vt:lpstr>
      <vt:lpstr>value_235c_7</vt:lpstr>
      <vt:lpstr>value_235c_8</vt:lpstr>
      <vt:lpstr>value_235c_9</vt:lpstr>
      <vt:lpstr>value_235d</vt:lpstr>
      <vt:lpstr>value_235d_1</vt:lpstr>
      <vt:lpstr>value_235d_10</vt:lpstr>
      <vt:lpstr>value_235d_11</vt:lpstr>
      <vt:lpstr>value_235d_12</vt:lpstr>
      <vt:lpstr>value_235d_2</vt:lpstr>
      <vt:lpstr>value_235d_3</vt:lpstr>
      <vt:lpstr>value_235d_4</vt:lpstr>
      <vt:lpstr>value_235d_5</vt:lpstr>
      <vt:lpstr>value_235d_6</vt:lpstr>
      <vt:lpstr>value_235d_7</vt:lpstr>
      <vt:lpstr>value_235d_8</vt:lpstr>
      <vt:lpstr>value_235d_9</vt:lpstr>
      <vt:lpstr>value_238</vt:lpstr>
      <vt:lpstr>value_23a</vt:lpstr>
      <vt:lpstr>value_23b</vt:lpstr>
      <vt:lpstr>value_23c</vt:lpstr>
      <vt:lpstr>value_240a</vt:lpstr>
      <vt:lpstr>value_240b</vt:lpstr>
      <vt:lpstr>value_240c</vt:lpstr>
      <vt:lpstr>value_240d</vt:lpstr>
      <vt:lpstr>value_240e</vt:lpstr>
      <vt:lpstr>value_241a</vt:lpstr>
      <vt:lpstr>value_241b</vt:lpstr>
      <vt:lpstr>value_241c</vt:lpstr>
      <vt:lpstr>value_241d</vt:lpstr>
      <vt:lpstr>value_241e</vt:lpstr>
      <vt:lpstr>value_242a</vt:lpstr>
      <vt:lpstr>value_242b</vt:lpstr>
      <vt:lpstr>value_242c</vt:lpstr>
      <vt:lpstr>value_242d</vt:lpstr>
      <vt:lpstr>value_242e</vt:lpstr>
      <vt:lpstr>value_243</vt:lpstr>
      <vt:lpstr>value_244</vt:lpstr>
      <vt:lpstr>value_245</vt:lpstr>
      <vt:lpstr>value_246</vt:lpstr>
      <vt:lpstr>value_247</vt:lpstr>
      <vt:lpstr>value_247a</vt:lpstr>
      <vt:lpstr>value_248</vt:lpstr>
      <vt:lpstr>value_249</vt:lpstr>
      <vt:lpstr>value_24a_1</vt:lpstr>
      <vt:lpstr>value_24a_10</vt:lpstr>
      <vt:lpstr>value_24a_11</vt:lpstr>
      <vt:lpstr>value_24a_12</vt:lpstr>
      <vt:lpstr>value_24a_2</vt:lpstr>
      <vt:lpstr>value_24a_3</vt:lpstr>
      <vt:lpstr>value_24a_4</vt:lpstr>
      <vt:lpstr>value_24a_5</vt:lpstr>
      <vt:lpstr>value_24a_6</vt:lpstr>
      <vt:lpstr>value_24a_7</vt:lpstr>
      <vt:lpstr>value_24a_8</vt:lpstr>
      <vt:lpstr>value_24a_9</vt:lpstr>
      <vt:lpstr>value_24b_1</vt:lpstr>
      <vt:lpstr>value_24b_10</vt:lpstr>
      <vt:lpstr>value_24b_11</vt:lpstr>
      <vt:lpstr>value_24b_12</vt:lpstr>
      <vt:lpstr>value_24b_2</vt:lpstr>
      <vt:lpstr>value_24b_3</vt:lpstr>
      <vt:lpstr>value_24b_4</vt:lpstr>
      <vt:lpstr>value_24b_5</vt:lpstr>
      <vt:lpstr>value_24b_6</vt:lpstr>
      <vt:lpstr>value_24b_7</vt:lpstr>
      <vt:lpstr>value_24b_8</vt:lpstr>
      <vt:lpstr>value_24b_9</vt:lpstr>
      <vt:lpstr>value_24c_1</vt:lpstr>
      <vt:lpstr>value_24c_10</vt:lpstr>
      <vt:lpstr>value_24c_11</vt:lpstr>
      <vt:lpstr>value_24c_12</vt:lpstr>
      <vt:lpstr>value_24c_2</vt:lpstr>
      <vt:lpstr>value_24c_3</vt:lpstr>
      <vt:lpstr>value_24c_4</vt:lpstr>
      <vt:lpstr>value_24c_5</vt:lpstr>
      <vt:lpstr>value_24c_6</vt:lpstr>
      <vt:lpstr>value_24c_7</vt:lpstr>
      <vt:lpstr>value_24c_8</vt:lpstr>
      <vt:lpstr>value_24c_9</vt:lpstr>
      <vt:lpstr>value_24d_1</vt:lpstr>
      <vt:lpstr>value_24d_10</vt:lpstr>
      <vt:lpstr>value_24d_11</vt:lpstr>
      <vt:lpstr>value_24d_12</vt:lpstr>
      <vt:lpstr>value_24d_2</vt:lpstr>
      <vt:lpstr>value_24d_3</vt:lpstr>
      <vt:lpstr>value_24d_4</vt:lpstr>
      <vt:lpstr>value_24d_5</vt:lpstr>
      <vt:lpstr>value_24d_6</vt:lpstr>
      <vt:lpstr>value_24d_7</vt:lpstr>
      <vt:lpstr>value_24d_8</vt:lpstr>
      <vt:lpstr>value_24d_9</vt:lpstr>
      <vt:lpstr>value_25_1</vt:lpstr>
      <vt:lpstr>value_25_10</vt:lpstr>
      <vt:lpstr>value_25_11</vt:lpstr>
      <vt:lpstr>value_25_12</vt:lpstr>
      <vt:lpstr>value_25_2</vt:lpstr>
      <vt:lpstr>value_25_3</vt:lpstr>
      <vt:lpstr>value_25_4</vt:lpstr>
      <vt:lpstr>value_25_5</vt:lpstr>
      <vt:lpstr>value_25_6</vt:lpstr>
      <vt:lpstr>value_25_7</vt:lpstr>
      <vt:lpstr>value_25_8</vt:lpstr>
      <vt:lpstr>value_25_9</vt:lpstr>
      <vt:lpstr>value_250</vt:lpstr>
      <vt:lpstr>value_251</vt:lpstr>
      <vt:lpstr>value_252</vt:lpstr>
      <vt:lpstr>value_253</vt:lpstr>
      <vt:lpstr>value_254</vt:lpstr>
      <vt:lpstr>value_255</vt:lpstr>
      <vt:lpstr>value_256</vt:lpstr>
      <vt:lpstr>value_257</vt:lpstr>
      <vt:lpstr>value_258</vt:lpstr>
      <vt:lpstr>value_26_net_area</vt:lpstr>
      <vt:lpstr>value_26_u_value_description</vt:lpstr>
      <vt:lpstr>value_26_UA</vt:lpstr>
      <vt:lpstr>value_261</vt:lpstr>
      <vt:lpstr>value_262</vt:lpstr>
      <vt:lpstr>value_263</vt:lpstr>
      <vt:lpstr>value_264</vt:lpstr>
      <vt:lpstr>value_264a</vt:lpstr>
      <vt:lpstr>value_265</vt:lpstr>
      <vt:lpstr>value_266</vt:lpstr>
      <vt:lpstr>value_267</vt:lpstr>
      <vt:lpstr>value_268</vt:lpstr>
      <vt:lpstr>value_269</vt:lpstr>
      <vt:lpstr>value_26a_net_area</vt:lpstr>
      <vt:lpstr>value_26a_u_value_description</vt:lpstr>
      <vt:lpstr>value_26a_UA</vt:lpstr>
      <vt:lpstr>value_27_net_area</vt:lpstr>
      <vt:lpstr>value_27_u_value_description</vt:lpstr>
      <vt:lpstr>value_27_UA</vt:lpstr>
      <vt:lpstr>value_270</vt:lpstr>
      <vt:lpstr>value_271</vt:lpstr>
      <vt:lpstr>value_272</vt:lpstr>
      <vt:lpstr>value_273</vt:lpstr>
      <vt:lpstr>value_274</vt:lpstr>
      <vt:lpstr>value_275</vt:lpstr>
      <vt:lpstr>value_276</vt:lpstr>
      <vt:lpstr>value_277</vt:lpstr>
      <vt:lpstr>value_278</vt:lpstr>
      <vt:lpstr>value_278a</vt:lpstr>
      <vt:lpstr>value_279</vt:lpstr>
      <vt:lpstr>value_27a_net_area</vt:lpstr>
      <vt:lpstr>value_27a_u_value_description</vt:lpstr>
      <vt:lpstr>value_27a_UA</vt:lpstr>
      <vt:lpstr>value_28_Ak</vt:lpstr>
      <vt:lpstr>value_28_k_value_description</vt:lpstr>
      <vt:lpstr>value_28_net_area</vt:lpstr>
      <vt:lpstr>value_28_u_value_description</vt:lpstr>
      <vt:lpstr>value_28_UA</vt:lpstr>
      <vt:lpstr>value_28_Uk</vt:lpstr>
      <vt:lpstr>value_280</vt:lpstr>
      <vt:lpstr>value_281</vt:lpstr>
      <vt:lpstr>value_282</vt:lpstr>
      <vt:lpstr>value_283</vt:lpstr>
      <vt:lpstr>value_284</vt:lpstr>
      <vt:lpstr>value_285</vt:lpstr>
      <vt:lpstr>value_286</vt:lpstr>
      <vt:lpstr>value_287</vt:lpstr>
      <vt:lpstr>value_28a_Ak</vt:lpstr>
      <vt:lpstr>value_28a_k_value_description</vt:lpstr>
      <vt:lpstr>value_28a_net_area</vt:lpstr>
      <vt:lpstr>value_28a_u_value_description</vt:lpstr>
      <vt:lpstr>value_28a_UA</vt:lpstr>
      <vt:lpstr>value_28b_Ak</vt:lpstr>
      <vt:lpstr>value_28b_k_value_description</vt:lpstr>
      <vt:lpstr>value_28b_net_area</vt:lpstr>
      <vt:lpstr>value_28b_u_value_description</vt:lpstr>
      <vt:lpstr>value_28b_UA</vt:lpstr>
      <vt:lpstr>value_29_Ak</vt:lpstr>
      <vt:lpstr>value_29_gross_area</vt:lpstr>
      <vt:lpstr>value_29_k_value_description</vt:lpstr>
      <vt:lpstr>value_29_net_area</vt:lpstr>
      <vt:lpstr>value_29_openings_area</vt:lpstr>
      <vt:lpstr>value_29_u_value_description</vt:lpstr>
      <vt:lpstr>value_29_UA</vt:lpstr>
      <vt:lpstr>value_29a</vt:lpstr>
      <vt:lpstr>value_29a_Ak</vt:lpstr>
      <vt:lpstr>value_29a_gross_area</vt:lpstr>
      <vt:lpstr>value_29a_k_value_description</vt:lpstr>
      <vt:lpstr>value_29a_net_area</vt:lpstr>
      <vt:lpstr>value_29a_openings_area</vt:lpstr>
      <vt:lpstr>value_29a_u_value_description</vt:lpstr>
      <vt:lpstr>value_29a_UA</vt:lpstr>
      <vt:lpstr>value_3_level_0</vt:lpstr>
      <vt:lpstr>value_3_level_1</vt:lpstr>
      <vt:lpstr>value_3_level_2</vt:lpstr>
      <vt:lpstr>value_3_level_3</vt:lpstr>
      <vt:lpstr>value_3_level_minus_1</vt:lpstr>
      <vt:lpstr>value_3_level_other</vt:lpstr>
      <vt:lpstr>value_30_Ak</vt:lpstr>
      <vt:lpstr>value_30_gross_area</vt:lpstr>
      <vt:lpstr>value_30_k_value_description</vt:lpstr>
      <vt:lpstr>value_30_net_area</vt:lpstr>
      <vt:lpstr>value_30_openings_area</vt:lpstr>
      <vt:lpstr>value_30_u_value_description</vt:lpstr>
      <vt:lpstr>value_30_UA</vt:lpstr>
      <vt:lpstr>value_31</vt:lpstr>
      <vt:lpstr>value_32_Ak</vt:lpstr>
      <vt:lpstr>value_32_k_value_description</vt:lpstr>
      <vt:lpstr>value_32_net_area</vt:lpstr>
      <vt:lpstr>value_32_u_value_description</vt:lpstr>
      <vt:lpstr>value_32_UA</vt:lpstr>
      <vt:lpstr>value_32a_Ak</vt:lpstr>
      <vt:lpstr>value_32a_k_value_description</vt:lpstr>
      <vt:lpstr>value_32a_net_area</vt:lpstr>
      <vt:lpstr>value_32b_Ak</vt:lpstr>
      <vt:lpstr>value_32b_k_value_description</vt:lpstr>
      <vt:lpstr>value_32b_net_area</vt:lpstr>
      <vt:lpstr>value_32c_Ak</vt:lpstr>
      <vt:lpstr>value_32c_k_value_description</vt:lpstr>
      <vt:lpstr>value_32c_net_area</vt:lpstr>
      <vt:lpstr>value_32d_Ak</vt:lpstr>
      <vt:lpstr>value_32d_k_value_description</vt:lpstr>
      <vt:lpstr>value_32d_net_area</vt:lpstr>
      <vt:lpstr>value_32e_Ak</vt:lpstr>
      <vt:lpstr>value_32e_k_value_description</vt:lpstr>
      <vt:lpstr>value_32e_net_area</vt:lpstr>
      <vt:lpstr>value_33</vt:lpstr>
      <vt:lpstr>value_34</vt:lpstr>
      <vt:lpstr>value_35</vt:lpstr>
      <vt:lpstr>value_36</vt:lpstr>
      <vt:lpstr>value_36a</vt:lpstr>
      <vt:lpstr>value_37</vt:lpstr>
      <vt:lpstr>value_38_1</vt:lpstr>
      <vt:lpstr>value_38_10</vt:lpstr>
      <vt:lpstr>value_38_11</vt:lpstr>
      <vt:lpstr>value_38_12</vt:lpstr>
      <vt:lpstr>value_38_2</vt:lpstr>
      <vt:lpstr>value_38_3</vt:lpstr>
      <vt:lpstr>value_38_4</vt:lpstr>
      <vt:lpstr>value_38_5</vt:lpstr>
      <vt:lpstr>value_38_6</vt:lpstr>
      <vt:lpstr>value_38_7</vt:lpstr>
      <vt:lpstr>value_38_8</vt:lpstr>
      <vt:lpstr>value_38_9</vt:lpstr>
      <vt:lpstr>value_39</vt:lpstr>
      <vt:lpstr>value_39_1</vt:lpstr>
      <vt:lpstr>value_39_10</vt:lpstr>
      <vt:lpstr>value_39_11</vt:lpstr>
      <vt:lpstr>value_39_12</vt:lpstr>
      <vt:lpstr>value_39_2</vt:lpstr>
      <vt:lpstr>value_39_3</vt:lpstr>
      <vt:lpstr>value_39_4</vt:lpstr>
      <vt:lpstr>value_39_5</vt:lpstr>
      <vt:lpstr>value_39_6</vt:lpstr>
      <vt:lpstr>value_39_7</vt:lpstr>
      <vt:lpstr>value_39_8</vt:lpstr>
      <vt:lpstr>value_39_9</vt:lpstr>
      <vt:lpstr>value_4</vt:lpstr>
      <vt:lpstr>value_40</vt:lpstr>
      <vt:lpstr>value_40_1</vt:lpstr>
      <vt:lpstr>value_40_10</vt:lpstr>
      <vt:lpstr>value_40_11</vt:lpstr>
      <vt:lpstr>value_40_12</vt:lpstr>
      <vt:lpstr>value_40_2</vt:lpstr>
      <vt:lpstr>value_40_3</vt:lpstr>
      <vt:lpstr>value_40_4</vt:lpstr>
      <vt:lpstr>value_40_5</vt:lpstr>
      <vt:lpstr>value_40_6</vt:lpstr>
      <vt:lpstr>value_40_7</vt:lpstr>
      <vt:lpstr>value_40_8</vt:lpstr>
      <vt:lpstr>value_40_9</vt:lpstr>
      <vt:lpstr>value_41_1</vt:lpstr>
      <vt:lpstr>value_41_10</vt:lpstr>
      <vt:lpstr>value_41_11</vt:lpstr>
      <vt:lpstr>value_41_12</vt:lpstr>
      <vt:lpstr>value_41_2</vt:lpstr>
      <vt:lpstr>value_41_3</vt:lpstr>
      <vt:lpstr>value_41_4</vt:lpstr>
      <vt:lpstr>value_41_5</vt:lpstr>
      <vt:lpstr>value_41_6</vt:lpstr>
      <vt:lpstr>value_41_7</vt:lpstr>
      <vt:lpstr>value_41_8</vt:lpstr>
      <vt:lpstr>value_41_9</vt:lpstr>
      <vt:lpstr>value_42</vt:lpstr>
      <vt:lpstr>value_42a_1</vt:lpstr>
      <vt:lpstr>value_42a_10</vt:lpstr>
      <vt:lpstr>value_42a_11</vt:lpstr>
      <vt:lpstr>value_42a_12</vt:lpstr>
      <vt:lpstr>value_42a_2</vt:lpstr>
      <vt:lpstr>value_42a_3</vt:lpstr>
      <vt:lpstr>value_42a_4</vt:lpstr>
      <vt:lpstr>value_42a_5</vt:lpstr>
      <vt:lpstr>value_42a_6</vt:lpstr>
      <vt:lpstr>value_42a_7</vt:lpstr>
      <vt:lpstr>value_42a_8</vt:lpstr>
      <vt:lpstr>value_42a_9</vt:lpstr>
      <vt:lpstr>value_42b_1</vt:lpstr>
      <vt:lpstr>value_42b_10</vt:lpstr>
      <vt:lpstr>value_42b_11</vt:lpstr>
      <vt:lpstr>value_42b_12</vt:lpstr>
      <vt:lpstr>value_42b_2</vt:lpstr>
      <vt:lpstr>value_42b_3</vt:lpstr>
      <vt:lpstr>value_42b_4</vt:lpstr>
      <vt:lpstr>value_42b_5</vt:lpstr>
      <vt:lpstr>value_42b_6</vt:lpstr>
      <vt:lpstr>value_42b_7</vt:lpstr>
      <vt:lpstr>value_42b_8</vt:lpstr>
      <vt:lpstr>value_42b_9</vt:lpstr>
      <vt:lpstr>value_42c_1</vt:lpstr>
      <vt:lpstr>value_42c_10</vt:lpstr>
      <vt:lpstr>value_42c_11</vt:lpstr>
      <vt:lpstr>value_42c_12</vt:lpstr>
      <vt:lpstr>value_42c_2</vt:lpstr>
      <vt:lpstr>value_42c_3</vt:lpstr>
      <vt:lpstr>value_42c_4</vt:lpstr>
      <vt:lpstr>value_42c_5</vt:lpstr>
      <vt:lpstr>value_42c_6</vt:lpstr>
      <vt:lpstr>value_42c_7</vt:lpstr>
      <vt:lpstr>value_42c_8</vt:lpstr>
      <vt:lpstr>value_42c_9</vt:lpstr>
      <vt:lpstr>value_43</vt:lpstr>
      <vt:lpstr>value_44_1</vt:lpstr>
      <vt:lpstr>value_44_10</vt:lpstr>
      <vt:lpstr>value_44_11</vt:lpstr>
      <vt:lpstr>value_44_12</vt:lpstr>
      <vt:lpstr>value_44_2</vt:lpstr>
      <vt:lpstr>value_44_3</vt:lpstr>
      <vt:lpstr>value_44_4</vt:lpstr>
      <vt:lpstr>value_44_5</vt:lpstr>
      <vt:lpstr>value_44_6</vt:lpstr>
      <vt:lpstr>value_44_7</vt:lpstr>
      <vt:lpstr>value_44_8</vt:lpstr>
      <vt:lpstr>value_44_9</vt:lpstr>
      <vt:lpstr>value_45</vt:lpstr>
      <vt:lpstr>value_45_1</vt:lpstr>
      <vt:lpstr>value_45_10</vt:lpstr>
      <vt:lpstr>value_45_11</vt:lpstr>
      <vt:lpstr>value_45_12</vt:lpstr>
      <vt:lpstr>value_45_2</vt:lpstr>
      <vt:lpstr>value_45_3</vt:lpstr>
      <vt:lpstr>value_45_4</vt:lpstr>
      <vt:lpstr>value_45_5</vt:lpstr>
      <vt:lpstr>value_45_6</vt:lpstr>
      <vt:lpstr>value_45_7</vt:lpstr>
      <vt:lpstr>value_45_8</vt:lpstr>
      <vt:lpstr>value_45_9</vt:lpstr>
      <vt:lpstr>value_46_1</vt:lpstr>
      <vt:lpstr>value_46_10</vt:lpstr>
      <vt:lpstr>value_46_11</vt:lpstr>
      <vt:lpstr>value_46_12</vt:lpstr>
      <vt:lpstr>value_46_2</vt:lpstr>
      <vt:lpstr>value_46_3</vt:lpstr>
      <vt:lpstr>value_46_4</vt:lpstr>
      <vt:lpstr>value_46_5</vt:lpstr>
      <vt:lpstr>value_46_6</vt:lpstr>
      <vt:lpstr>value_46_7</vt:lpstr>
      <vt:lpstr>value_46_8</vt:lpstr>
      <vt:lpstr>value_46_9</vt:lpstr>
      <vt:lpstr>value_47</vt:lpstr>
      <vt:lpstr>value_48</vt:lpstr>
      <vt:lpstr>value_49</vt:lpstr>
      <vt:lpstr>value_5</vt:lpstr>
      <vt:lpstr>value_50</vt:lpstr>
      <vt:lpstr>value_51</vt:lpstr>
      <vt:lpstr>value_52</vt:lpstr>
      <vt:lpstr>value_53</vt:lpstr>
      <vt:lpstr>value_54</vt:lpstr>
      <vt:lpstr>value_55</vt:lpstr>
      <vt:lpstr>value_56_1</vt:lpstr>
      <vt:lpstr>value_56_10</vt:lpstr>
      <vt:lpstr>value_56_11</vt:lpstr>
      <vt:lpstr>value_56_12</vt:lpstr>
      <vt:lpstr>value_56_2</vt:lpstr>
      <vt:lpstr>value_56_3</vt:lpstr>
      <vt:lpstr>value_56_4</vt:lpstr>
      <vt:lpstr>value_56_5</vt:lpstr>
      <vt:lpstr>value_56_6</vt:lpstr>
      <vt:lpstr>value_56_7</vt:lpstr>
      <vt:lpstr>value_56_8</vt:lpstr>
      <vt:lpstr>value_56_9</vt:lpstr>
      <vt:lpstr>value_57_1</vt:lpstr>
      <vt:lpstr>value_57_10</vt:lpstr>
      <vt:lpstr>value_57_11</vt:lpstr>
      <vt:lpstr>value_57_12</vt:lpstr>
      <vt:lpstr>value_57_2</vt:lpstr>
      <vt:lpstr>value_57_3</vt:lpstr>
      <vt:lpstr>value_57_4</vt:lpstr>
      <vt:lpstr>value_57_5</vt:lpstr>
      <vt:lpstr>value_57_6</vt:lpstr>
      <vt:lpstr>value_57_7</vt:lpstr>
      <vt:lpstr>value_57_8</vt:lpstr>
      <vt:lpstr>value_57_9</vt:lpstr>
      <vt:lpstr>value_59_1</vt:lpstr>
      <vt:lpstr>value_59_10</vt:lpstr>
      <vt:lpstr>value_59_11</vt:lpstr>
      <vt:lpstr>value_59_12</vt:lpstr>
      <vt:lpstr>value_59_2</vt:lpstr>
      <vt:lpstr>value_59_3</vt:lpstr>
      <vt:lpstr>value_59_4</vt:lpstr>
      <vt:lpstr>value_59_5</vt:lpstr>
      <vt:lpstr>value_59_6</vt:lpstr>
      <vt:lpstr>value_59_7</vt:lpstr>
      <vt:lpstr>value_59_8</vt:lpstr>
      <vt:lpstr>value_59_9</vt:lpstr>
      <vt:lpstr>value_61_1</vt:lpstr>
      <vt:lpstr>value_61_10</vt:lpstr>
      <vt:lpstr>value_61_11</vt:lpstr>
      <vt:lpstr>value_61_12</vt:lpstr>
      <vt:lpstr>value_61_2</vt:lpstr>
      <vt:lpstr>value_61_3</vt:lpstr>
      <vt:lpstr>value_61_4</vt:lpstr>
      <vt:lpstr>value_61_5</vt:lpstr>
      <vt:lpstr>value_61_6</vt:lpstr>
      <vt:lpstr>value_61_7</vt:lpstr>
      <vt:lpstr>value_61_8</vt:lpstr>
      <vt:lpstr>value_61_9</vt:lpstr>
      <vt:lpstr>value_62_1</vt:lpstr>
      <vt:lpstr>value_62_10</vt:lpstr>
      <vt:lpstr>value_62_11</vt:lpstr>
      <vt:lpstr>value_62_12</vt:lpstr>
      <vt:lpstr>value_62_2</vt:lpstr>
      <vt:lpstr>value_62_3</vt:lpstr>
      <vt:lpstr>value_62_4</vt:lpstr>
      <vt:lpstr>value_62_5</vt:lpstr>
      <vt:lpstr>value_62_6</vt:lpstr>
      <vt:lpstr>value_62_7</vt:lpstr>
      <vt:lpstr>value_62_8</vt:lpstr>
      <vt:lpstr>value_62_9</vt:lpstr>
      <vt:lpstr>value_63a_1</vt:lpstr>
      <vt:lpstr>value_63a_10</vt:lpstr>
      <vt:lpstr>value_63a_11</vt:lpstr>
      <vt:lpstr>value_63a_12</vt:lpstr>
      <vt:lpstr>value_63a_2</vt:lpstr>
      <vt:lpstr>value_63a_3</vt:lpstr>
      <vt:lpstr>value_63a_4</vt:lpstr>
      <vt:lpstr>value_63a_5</vt:lpstr>
      <vt:lpstr>value_63a_6</vt:lpstr>
      <vt:lpstr>value_63a_7</vt:lpstr>
      <vt:lpstr>value_63a_8</vt:lpstr>
      <vt:lpstr>value_63a_9</vt:lpstr>
      <vt:lpstr>value_63b_1</vt:lpstr>
      <vt:lpstr>value_63b_10</vt:lpstr>
      <vt:lpstr>value_63b_11</vt:lpstr>
      <vt:lpstr>value_63b_12</vt:lpstr>
      <vt:lpstr>value_63b_2</vt:lpstr>
      <vt:lpstr>value_63b_3</vt:lpstr>
      <vt:lpstr>value_63b_4</vt:lpstr>
      <vt:lpstr>value_63b_5</vt:lpstr>
      <vt:lpstr>value_63b_6</vt:lpstr>
      <vt:lpstr>value_63b_7</vt:lpstr>
      <vt:lpstr>value_63b_8</vt:lpstr>
      <vt:lpstr>value_63b_9</vt:lpstr>
      <vt:lpstr>value_63c_1</vt:lpstr>
      <vt:lpstr>value_63c_10</vt:lpstr>
      <vt:lpstr>value_63c_11</vt:lpstr>
      <vt:lpstr>value_63c_12</vt:lpstr>
      <vt:lpstr>value_63c_2</vt:lpstr>
      <vt:lpstr>value_63c_3</vt:lpstr>
      <vt:lpstr>value_63c_4</vt:lpstr>
      <vt:lpstr>value_63c_5</vt:lpstr>
      <vt:lpstr>value_63c_6</vt:lpstr>
      <vt:lpstr>value_63c_7</vt:lpstr>
      <vt:lpstr>value_63c_8</vt:lpstr>
      <vt:lpstr>value_63c_9</vt:lpstr>
      <vt:lpstr>value_63d_1</vt:lpstr>
      <vt:lpstr>value_63d_10</vt:lpstr>
      <vt:lpstr>value_63d_11</vt:lpstr>
      <vt:lpstr>value_63d_12</vt:lpstr>
      <vt:lpstr>value_63d_2</vt:lpstr>
      <vt:lpstr>value_63d_3</vt:lpstr>
      <vt:lpstr>value_63d_4</vt:lpstr>
      <vt:lpstr>value_63d_5</vt:lpstr>
      <vt:lpstr>value_63d_6</vt:lpstr>
      <vt:lpstr>value_63d_7</vt:lpstr>
      <vt:lpstr>value_63d_8</vt:lpstr>
      <vt:lpstr>value_63d_9</vt:lpstr>
      <vt:lpstr>value_64</vt:lpstr>
      <vt:lpstr>value_64_1</vt:lpstr>
      <vt:lpstr>value_64_10</vt:lpstr>
      <vt:lpstr>value_64_11</vt:lpstr>
      <vt:lpstr>value_64_12</vt:lpstr>
      <vt:lpstr>value_64_2</vt:lpstr>
      <vt:lpstr>value_64_3</vt:lpstr>
      <vt:lpstr>value_64_4</vt:lpstr>
      <vt:lpstr>value_64_5</vt:lpstr>
      <vt:lpstr>value_64_6</vt:lpstr>
      <vt:lpstr>value_64_7</vt:lpstr>
      <vt:lpstr>value_64_8</vt:lpstr>
      <vt:lpstr>value_64_9</vt:lpstr>
      <vt:lpstr>value_64a</vt:lpstr>
      <vt:lpstr>value_64a_1</vt:lpstr>
      <vt:lpstr>value_64a_10</vt:lpstr>
      <vt:lpstr>value_64a_11</vt:lpstr>
      <vt:lpstr>value_64a_12</vt:lpstr>
      <vt:lpstr>value_64a_2</vt:lpstr>
      <vt:lpstr>value_64a_3</vt:lpstr>
      <vt:lpstr>value_64a_4</vt:lpstr>
      <vt:lpstr>value_64a_5</vt:lpstr>
      <vt:lpstr>value_64a_6</vt:lpstr>
      <vt:lpstr>value_64a_7</vt:lpstr>
      <vt:lpstr>value_64a_8</vt:lpstr>
      <vt:lpstr>value_64a_9</vt:lpstr>
      <vt:lpstr>value_65_1</vt:lpstr>
      <vt:lpstr>value_65_10</vt:lpstr>
      <vt:lpstr>value_65_11</vt:lpstr>
      <vt:lpstr>value_65_12</vt:lpstr>
      <vt:lpstr>value_65_2</vt:lpstr>
      <vt:lpstr>value_65_3</vt:lpstr>
      <vt:lpstr>value_65_4</vt:lpstr>
      <vt:lpstr>value_65_5</vt:lpstr>
      <vt:lpstr>value_65_6</vt:lpstr>
      <vt:lpstr>value_65_7</vt:lpstr>
      <vt:lpstr>value_65_8</vt:lpstr>
      <vt:lpstr>value_65_9</vt:lpstr>
      <vt:lpstr>value_66_1</vt:lpstr>
      <vt:lpstr>value_66_10</vt:lpstr>
      <vt:lpstr>value_66_11</vt:lpstr>
      <vt:lpstr>value_66_12</vt:lpstr>
      <vt:lpstr>value_66_2</vt:lpstr>
      <vt:lpstr>value_66_3</vt:lpstr>
      <vt:lpstr>value_66_4</vt:lpstr>
      <vt:lpstr>value_66_5</vt:lpstr>
      <vt:lpstr>value_66_6</vt:lpstr>
      <vt:lpstr>value_66_7</vt:lpstr>
      <vt:lpstr>value_66_8</vt:lpstr>
      <vt:lpstr>value_66_9</vt:lpstr>
      <vt:lpstr>value_67_1</vt:lpstr>
      <vt:lpstr>value_67_10</vt:lpstr>
      <vt:lpstr>value_67_11</vt:lpstr>
      <vt:lpstr>value_67_12</vt:lpstr>
      <vt:lpstr>value_67_2</vt:lpstr>
      <vt:lpstr>value_67_3</vt:lpstr>
      <vt:lpstr>value_67_4</vt:lpstr>
      <vt:lpstr>value_67_5</vt:lpstr>
      <vt:lpstr>value_67_6</vt:lpstr>
      <vt:lpstr>value_67_7</vt:lpstr>
      <vt:lpstr>value_67_8</vt:lpstr>
      <vt:lpstr>value_67_9</vt:lpstr>
      <vt:lpstr>value_68_1</vt:lpstr>
      <vt:lpstr>value_68_10</vt:lpstr>
      <vt:lpstr>value_68_11</vt:lpstr>
      <vt:lpstr>value_68_12</vt:lpstr>
      <vt:lpstr>value_68_2</vt:lpstr>
      <vt:lpstr>value_68_3</vt:lpstr>
      <vt:lpstr>value_68_4</vt:lpstr>
      <vt:lpstr>value_68_5</vt:lpstr>
      <vt:lpstr>value_68_6</vt:lpstr>
      <vt:lpstr>value_68_7</vt:lpstr>
      <vt:lpstr>value_68_8</vt:lpstr>
      <vt:lpstr>value_68_9</vt:lpstr>
      <vt:lpstr>value_69_1</vt:lpstr>
      <vt:lpstr>value_69_10</vt:lpstr>
      <vt:lpstr>value_69_11</vt:lpstr>
      <vt:lpstr>value_69_12</vt:lpstr>
      <vt:lpstr>value_69_2</vt:lpstr>
      <vt:lpstr>value_69_3</vt:lpstr>
      <vt:lpstr>value_69_4</vt:lpstr>
      <vt:lpstr>value_69_5</vt:lpstr>
      <vt:lpstr>value_69_6</vt:lpstr>
      <vt:lpstr>value_69_7</vt:lpstr>
      <vt:lpstr>value_69_8</vt:lpstr>
      <vt:lpstr>value_69_9</vt:lpstr>
      <vt:lpstr>value_6a</vt:lpstr>
      <vt:lpstr>value_6a_total</vt:lpstr>
      <vt:lpstr>value_6b</vt:lpstr>
      <vt:lpstr>value_6b_total</vt:lpstr>
      <vt:lpstr>value_6c</vt:lpstr>
      <vt:lpstr>value_6c_total</vt:lpstr>
      <vt:lpstr>value_6d</vt:lpstr>
      <vt:lpstr>value_6d_total</vt:lpstr>
      <vt:lpstr>value_6e</vt:lpstr>
      <vt:lpstr>value_6e_total</vt:lpstr>
      <vt:lpstr>value_6f</vt:lpstr>
      <vt:lpstr>value_6f_total</vt:lpstr>
      <vt:lpstr>value_70_1</vt:lpstr>
      <vt:lpstr>value_70_10</vt:lpstr>
      <vt:lpstr>value_70_11</vt:lpstr>
      <vt:lpstr>value_70_12</vt:lpstr>
      <vt:lpstr>value_70_2</vt:lpstr>
      <vt:lpstr>value_70_3</vt:lpstr>
      <vt:lpstr>value_70_4</vt:lpstr>
      <vt:lpstr>value_70_5</vt:lpstr>
      <vt:lpstr>value_70_6</vt:lpstr>
      <vt:lpstr>value_70_7</vt:lpstr>
      <vt:lpstr>value_70_8</vt:lpstr>
      <vt:lpstr>value_70_9</vt:lpstr>
      <vt:lpstr>value_71_1</vt:lpstr>
      <vt:lpstr>value_71_10</vt:lpstr>
      <vt:lpstr>value_71_11</vt:lpstr>
      <vt:lpstr>value_71_12</vt:lpstr>
      <vt:lpstr>value_71_2</vt:lpstr>
      <vt:lpstr>value_71_3</vt:lpstr>
      <vt:lpstr>value_71_4</vt:lpstr>
      <vt:lpstr>value_71_5</vt:lpstr>
      <vt:lpstr>value_71_6</vt:lpstr>
      <vt:lpstr>value_71_7</vt:lpstr>
      <vt:lpstr>value_71_8</vt:lpstr>
      <vt:lpstr>value_71_9</vt:lpstr>
      <vt:lpstr>value_72_1</vt:lpstr>
      <vt:lpstr>value_72_10</vt:lpstr>
      <vt:lpstr>value_72_11</vt:lpstr>
      <vt:lpstr>value_72_12</vt:lpstr>
      <vt:lpstr>value_72_2</vt:lpstr>
      <vt:lpstr>value_72_3</vt:lpstr>
      <vt:lpstr>value_72_4</vt:lpstr>
      <vt:lpstr>value_72_5</vt:lpstr>
      <vt:lpstr>value_72_6</vt:lpstr>
      <vt:lpstr>value_72_7</vt:lpstr>
      <vt:lpstr>value_72_8</vt:lpstr>
      <vt:lpstr>value_72_9</vt:lpstr>
      <vt:lpstr>value_73_1</vt:lpstr>
      <vt:lpstr>value_73_10</vt:lpstr>
      <vt:lpstr>value_73_11</vt:lpstr>
      <vt:lpstr>value_73_12</vt:lpstr>
      <vt:lpstr>value_73_2</vt:lpstr>
      <vt:lpstr>value_73_3</vt:lpstr>
      <vt:lpstr>value_73_4</vt:lpstr>
      <vt:lpstr>value_73_5</vt:lpstr>
      <vt:lpstr>value_73_6</vt:lpstr>
      <vt:lpstr>value_73_7</vt:lpstr>
      <vt:lpstr>value_73_8</vt:lpstr>
      <vt:lpstr>value_73_9</vt:lpstr>
      <vt:lpstr>value_74</vt:lpstr>
      <vt:lpstr>value_74_access_factor</vt:lpstr>
      <vt:lpstr>value_74_area</vt:lpstr>
      <vt:lpstr>value_74_frame_factor</vt:lpstr>
      <vt:lpstr>value_74_solar_flux</vt:lpstr>
      <vt:lpstr>value_74_solar_transmittance</vt:lpstr>
      <vt:lpstr>value_75</vt:lpstr>
      <vt:lpstr>value_75__solar_transmittance</vt:lpstr>
      <vt:lpstr>value_75_access_factor</vt:lpstr>
      <vt:lpstr>value_75_area</vt:lpstr>
      <vt:lpstr>value_75_frame_factor</vt:lpstr>
      <vt:lpstr>value_75_solar_flux</vt:lpstr>
      <vt:lpstr>value_76</vt:lpstr>
      <vt:lpstr>value_76_access_factor</vt:lpstr>
      <vt:lpstr>value_76_area</vt:lpstr>
      <vt:lpstr>value_76_frame_factor</vt:lpstr>
      <vt:lpstr>value_76_solar_flux</vt:lpstr>
      <vt:lpstr>value_76_solar_transmittance</vt:lpstr>
      <vt:lpstr>value_77</vt:lpstr>
      <vt:lpstr>value_77_access_factor</vt:lpstr>
      <vt:lpstr>value_77_area</vt:lpstr>
      <vt:lpstr>value_77_frame_factor</vt:lpstr>
      <vt:lpstr>value_77_solar_flux</vt:lpstr>
      <vt:lpstr>value_77_solar_transmittance</vt:lpstr>
      <vt:lpstr>value_78</vt:lpstr>
      <vt:lpstr>value_78_access_factor</vt:lpstr>
      <vt:lpstr>value_78_area</vt:lpstr>
      <vt:lpstr>value_78_frame_factor</vt:lpstr>
      <vt:lpstr>value_78_solar_flux</vt:lpstr>
      <vt:lpstr>value_78_solar_transmittance</vt:lpstr>
      <vt:lpstr>value_79</vt:lpstr>
      <vt:lpstr>value_79_access_factor</vt:lpstr>
      <vt:lpstr>value_79_area</vt:lpstr>
      <vt:lpstr>value_79_frame_factor</vt:lpstr>
      <vt:lpstr>value_79_solar_flux</vt:lpstr>
      <vt:lpstr>value_79_solar_transmittance</vt:lpstr>
      <vt:lpstr>value_7a</vt:lpstr>
      <vt:lpstr>value_7a_total</vt:lpstr>
      <vt:lpstr>value_7b</vt:lpstr>
      <vt:lpstr>value_7b_total</vt:lpstr>
      <vt:lpstr>value_7c</vt:lpstr>
      <vt:lpstr>value_7c_total</vt:lpstr>
      <vt:lpstr>value_8</vt:lpstr>
      <vt:lpstr>value_80</vt:lpstr>
      <vt:lpstr>value_80_access_factor</vt:lpstr>
      <vt:lpstr>value_80_area</vt:lpstr>
      <vt:lpstr>value_80_frame_factor</vt:lpstr>
      <vt:lpstr>value_80_solar_flux</vt:lpstr>
      <vt:lpstr>value_80_solar_transmittance</vt:lpstr>
      <vt:lpstr>value_81</vt:lpstr>
      <vt:lpstr>value_81_access_factor</vt:lpstr>
      <vt:lpstr>value_81_area</vt:lpstr>
      <vt:lpstr>value_81_frame_factor</vt:lpstr>
      <vt:lpstr>value_81_solar_flux</vt:lpstr>
      <vt:lpstr>value_81_solar_transmittance</vt:lpstr>
      <vt:lpstr>value_82</vt:lpstr>
      <vt:lpstr>value_82_area</vt:lpstr>
      <vt:lpstr>value_82_frame_factor</vt:lpstr>
      <vt:lpstr>value_82_solar_flux</vt:lpstr>
      <vt:lpstr>value_82_solar_transmittance</vt:lpstr>
      <vt:lpstr>value_82a</vt:lpstr>
      <vt:lpstr>value_82a_area</vt:lpstr>
      <vt:lpstr>value_82a_frame_factor</vt:lpstr>
      <vt:lpstr>value_82a_solar_flux</vt:lpstr>
      <vt:lpstr>value_82a_solar_transmittance</vt:lpstr>
      <vt:lpstr>value_83_1</vt:lpstr>
      <vt:lpstr>value_83_10</vt:lpstr>
      <vt:lpstr>value_83_11</vt:lpstr>
      <vt:lpstr>value_83_12</vt:lpstr>
      <vt:lpstr>value_83_2</vt:lpstr>
      <vt:lpstr>value_83_3</vt:lpstr>
      <vt:lpstr>value_83_4</vt:lpstr>
      <vt:lpstr>value_83_5</vt:lpstr>
      <vt:lpstr>value_83_6</vt:lpstr>
      <vt:lpstr>value_83_7</vt:lpstr>
      <vt:lpstr>value_83_8</vt:lpstr>
      <vt:lpstr>value_83_9</vt:lpstr>
      <vt:lpstr>value_83_area</vt:lpstr>
      <vt:lpstr>value_84_1</vt:lpstr>
      <vt:lpstr>value_84_10</vt:lpstr>
      <vt:lpstr>value_84_11</vt:lpstr>
      <vt:lpstr>value_84_12</vt:lpstr>
      <vt:lpstr>value_84_2</vt:lpstr>
      <vt:lpstr>value_84_3</vt:lpstr>
      <vt:lpstr>value_84_4</vt:lpstr>
      <vt:lpstr>value_84_5</vt:lpstr>
      <vt:lpstr>value_84_6</vt:lpstr>
      <vt:lpstr>value_84_7</vt:lpstr>
      <vt:lpstr>value_84_8</vt:lpstr>
      <vt:lpstr>value_84_9</vt:lpstr>
      <vt:lpstr>value_85</vt:lpstr>
      <vt:lpstr>value_86_1</vt:lpstr>
      <vt:lpstr>value_86_10</vt:lpstr>
      <vt:lpstr>value_86_11</vt:lpstr>
      <vt:lpstr>value_86_12</vt:lpstr>
      <vt:lpstr>value_86_2</vt:lpstr>
      <vt:lpstr>value_86_3</vt:lpstr>
      <vt:lpstr>value_86_4</vt:lpstr>
      <vt:lpstr>value_86_5</vt:lpstr>
      <vt:lpstr>value_86_6</vt:lpstr>
      <vt:lpstr>value_86_7</vt:lpstr>
      <vt:lpstr>value_86_8</vt:lpstr>
      <vt:lpstr>value_86_9</vt:lpstr>
      <vt:lpstr>value_87_1</vt:lpstr>
      <vt:lpstr>value_87_10</vt:lpstr>
      <vt:lpstr>value_87_11</vt:lpstr>
      <vt:lpstr>value_87_12</vt:lpstr>
      <vt:lpstr>value_87_2</vt:lpstr>
      <vt:lpstr>value_87_3</vt:lpstr>
      <vt:lpstr>value_87_4</vt:lpstr>
      <vt:lpstr>value_87_5</vt:lpstr>
      <vt:lpstr>value_87_6</vt:lpstr>
      <vt:lpstr>value_87_7</vt:lpstr>
      <vt:lpstr>value_87_8</vt:lpstr>
      <vt:lpstr>value_87_9</vt:lpstr>
      <vt:lpstr>value_88_1</vt:lpstr>
      <vt:lpstr>value_88_10</vt:lpstr>
      <vt:lpstr>value_88_11</vt:lpstr>
      <vt:lpstr>value_88_12</vt:lpstr>
      <vt:lpstr>value_88_2</vt:lpstr>
      <vt:lpstr>value_88_3</vt:lpstr>
      <vt:lpstr>value_88_4</vt:lpstr>
      <vt:lpstr>value_88_5</vt:lpstr>
      <vt:lpstr>value_88_6</vt:lpstr>
      <vt:lpstr>value_88_7</vt:lpstr>
      <vt:lpstr>value_88_8</vt:lpstr>
      <vt:lpstr>value_88_9</vt:lpstr>
      <vt:lpstr>value_89_1</vt:lpstr>
      <vt:lpstr>value_89_10</vt:lpstr>
      <vt:lpstr>value_89_11</vt:lpstr>
      <vt:lpstr>value_89_12</vt:lpstr>
      <vt:lpstr>value_89_2</vt:lpstr>
      <vt:lpstr>value_89_3</vt:lpstr>
      <vt:lpstr>value_89_4</vt:lpstr>
      <vt:lpstr>value_89_5</vt:lpstr>
      <vt:lpstr>value_89_6</vt:lpstr>
      <vt:lpstr>value_89_7</vt:lpstr>
      <vt:lpstr>value_89_8</vt:lpstr>
      <vt:lpstr>value_89_9</vt:lpstr>
      <vt:lpstr>value_9</vt:lpstr>
      <vt:lpstr>value_90_1</vt:lpstr>
      <vt:lpstr>value_90_10</vt:lpstr>
      <vt:lpstr>value_90_11</vt:lpstr>
      <vt:lpstr>value_90_12</vt:lpstr>
      <vt:lpstr>value_90_2</vt:lpstr>
      <vt:lpstr>value_90_3</vt:lpstr>
      <vt:lpstr>value_90_4</vt:lpstr>
      <vt:lpstr>value_90_5</vt:lpstr>
      <vt:lpstr>value_90_6</vt:lpstr>
      <vt:lpstr>value_90_7</vt:lpstr>
      <vt:lpstr>value_90_8</vt:lpstr>
      <vt:lpstr>value_90_9</vt:lpstr>
      <vt:lpstr>value_91</vt:lpstr>
      <vt:lpstr>value_92_1</vt:lpstr>
      <vt:lpstr>value_92_10</vt:lpstr>
      <vt:lpstr>value_92_11</vt:lpstr>
      <vt:lpstr>value_92_12</vt:lpstr>
      <vt:lpstr>value_92_2</vt:lpstr>
      <vt:lpstr>value_92_3</vt:lpstr>
      <vt:lpstr>value_92_4</vt:lpstr>
      <vt:lpstr>value_92_5</vt:lpstr>
      <vt:lpstr>value_92_6</vt:lpstr>
      <vt:lpstr>value_92_7</vt:lpstr>
      <vt:lpstr>value_92_8</vt:lpstr>
      <vt:lpstr>value_92_9</vt:lpstr>
      <vt:lpstr>value_93_1</vt:lpstr>
      <vt:lpstr>value_93_10</vt:lpstr>
      <vt:lpstr>value_93_11</vt:lpstr>
      <vt:lpstr>value_93_12</vt:lpstr>
      <vt:lpstr>value_93_2</vt:lpstr>
      <vt:lpstr>value_93_3</vt:lpstr>
      <vt:lpstr>value_93_4</vt:lpstr>
      <vt:lpstr>value_93_5</vt:lpstr>
      <vt:lpstr>value_93_6</vt:lpstr>
      <vt:lpstr>value_93_7</vt:lpstr>
      <vt:lpstr>value_93_8</vt:lpstr>
      <vt:lpstr>value_93_9</vt:lpstr>
      <vt:lpstr>value_94_1</vt:lpstr>
      <vt:lpstr>value_94_10</vt:lpstr>
      <vt:lpstr>value_94_11</vt:lpstr>
      <vt:lpstr>value_94_12</vt:lpstr>
      <vt:lpstr>value_94_2</vt:lpstr>
      <vt:lpstr>value_94_3</vt:lpstr>
      <vt:lpstr>value_94_4</vt:lpstr>
      <vt:lpstr>value_94_5</vt:lpstr>
      <vt:lpstr>value_94_6</vt:lpstr>
      <vt:lpstr>value_94_7</vt:lpstr>
      <vt:lpstr>value_94_8</vt:lpstr>
      <vt:lpstr>value_94_9</vt:lpstr>
      <vt:lpstr>value_95_1</vt:lpstr>
      <vt:lpstr>value_95_10</vt:lpstr>
      <vt:lpstr>value_95_11</vt:lpstr>
      <vt:lpstr>value_95_12</vt:lpstr>
      <vt:lpstr>value_95_2</vt:lpstr>
      <vt:lpstr>value_95_3</vt:lpstr>
      <vt:lpstr>value_95_4</vt:lpstr>
      <vt:lpstr>value_95_5</vt:lpstr>
      <vt:lpstr>value_95_6</vt:lpstr>
      <vt:lpstr>value_95_7</vt:lpstr>
      <vt:lpstr>value_95_8</vt:lpstr>
      <vt:lpstr>value_95_9</vt:lpstr>
      <vt:lpstr>value_96_1</vt:lpstr>
      <vt:lpstr>value_96_10</vt:lpstr>
      <vt:lpstr>value_96_11</vt:lpstr>
      <vt:lpstr>value_96_12</vt:lpstr>
      <vt:lpstr>value_96_2</vt:lpstr>
      <vt:lpstr>value_96_3</vt:lpstr>
      <vt:lpstr>value_96_4</vt:lpstr>
      <vt:lpstr>value_96_5</vt:lpstr>
      <vt:lpstr>value_96_6</vt:lpstr>
      <vt:lpstr>value_96_7</vt:lpstr>
      <vt:lpstr>value_96_8</vt:lpstr>
      <vt:lpstr>value_96_9</vt:lpstr>
      <vt:lpstr>value_97_1</vt:lpstr>
      <vt:lpstr>value_97_10</vt:lpstr>
      <vt:lpstr>value_97_11</vt:lpstr>
      <vt:lpstr>value_97_12</vt:lpstr>
      <vt:lpstr>value_97_2</vt:lpstr>
      <vt:lpstr>value_97_3</vt:lpstr>
      <vt:lpstr>value_97_4</vt:lpstr>
      <vt:lpstr>value_97_5</vt:lpstr>
      <vt:lpstr>value_97_6</vt:lpstr>
      <vt:lpstr>value_97_7</vt:lpstr>
      <vt:lpstr>value_97_8</vt:lpstr>
      <vt:lpstr>value_97_9</vt:lpstr>
      <vt:lpstr>value_98a</vt:lpstr>
      <vt:lpstr>value_98a_1</vt:lpstr>
      <vt:lpstr>value_98a_10</vt:lpstr>
      <vt:lpstr>value_98a_11</vt:lpstr>
      <vt:lpstr>value_98a_12</vt:lpstr>
      <vt:lpstr>value_98a_2</vt:lpstr>
      <vt:lpstr>value_98a_3</vt:lpstr>
      <vt:lpstr>value_98a_4</vt:lpstr>
      <vt:lpstr>value_98a_5</vt:lpstr>
      <vt:lpstr>value_98a_6</vt:lpstr>
      <vt:lpstr>value_98a_7</vt:lpstr>
      <vt:lpstr>value_98a_8</vt:lpstr>
      <vt:lpstr>value_98a_9</vt:lpstr>
      <vt:lpstr>value_98b</vt:lpstr>
      <vt:lpstr>value_98b_1</vt:lpstr>
      <vt:lpstr>value_98b_10</vt:lpstr>
      <vt:lpstr>value_98b_11</vt:lpstr>
      <vt:lpstr>value_98b_12</vt:lpstr>
      <vt:lpstr>value_98b_2</vt:lpstr>
      <vt:lpstr>value_98b_3</vt:lpstr>
      <vt:lpstr>value_98b_4</vt:lpstr>
      <vt:lpstr>value_98b_5</vt:lpstr>
      <vt:lpstr>value_98b_6</vt:lpstr>
      <vt:lpstr>value_98b_7</vt:lpstr>
      <vt:lpstr>value_98b_8</vt:lpstr>
      <vt:lpstr>value_98b_9</vt:lpstr>
      <vt:lpstr>value_98c</vt:lpstr>
      <vt:lpstr>value_98c_1</vt:lpstr>
      <vt:lpstr>value_98c_10</vt:lpstr>
      <vt:lpstr>value_98c_11</vt:lpstr>
      <vt:lpstr>value_98c_12</vt:lpstr>
      <vt:lpstr>value_98c_2</vt:lpstr>
      <vt:lpstr>value_98c_3</vt:lpstr>
      <vt:lpstr>value_98c_4</vt:lpstr>
      <vt:lpstr>value_98c_5</vt:lpstr>
      <vt:lpstr>value_98c_6</vt:lpstr>
      <vt:lpstr>value_98c_7</vt:lpstr>
      <vt:lpstr>value_98c_8</vt:lpstr>
      <vt:lpstr>value_98c_9</vt:lpstr>
      <vt:lpstr>value_99</vt:lpstr>
      <vt:lpstr>variable_description_column</vt:lpstr>
      <vt:lpstr>water_heating_emission_factor_description</vt:lpstr>
      <vt:lpstr>water_heating_high_rate_fuel_price</vt:lpstr>
      <vt:lpstr>water_heating_low_rate_fuel_price</vt:lpstr>
      <vt:lpstr>water_heating_other_fuel_price</vt:lpstr>
      <vt:lpstr>XML_attributes_column</vt:lpstr>
      <vt:lpstr>XML_header_row</vt:lpstr>
      <vt:lpstr>XML_text_column</vt:lpstr>
      <vt:lpstr>xml_tree_column</vt:lpstr>
      <vt:lpstr>XML_xpath_column</vt:lpstr>
      <vt:lpstr>XMLSchema_Info!XMLSchema______SAP_Compliance_Report</vt:lpstr>
      <vt:lpstr>XMLSchema_Info!XMLSchema____SAP_Compliance_Report__Client_Address</vt:lpstr>
      <vt:lpstr>XMLSchema_Info!XMLSchema____SAP_Compliance_Report__Client_Company</vt:lpstr>
      <vt:lpstr>XMLSchema_Info!XMLSchema____SAP_Compliance_Report__Client_Name</vt:lpstr>
      <vt:lpstr>XMLSchema_Info!XMLSchema____SAP_Compliance_Report__Is_Multiple_Compliance</vt:lpstr>
      <vt:lpstr>XMLSchema_Info!XMLSchema____SAP_Compliance_Report__SAP_Report</vt:lpstr>
      <vt:lpstr>XMLSchema_Info!XMLSchema__Air_Change_Rates__Air_Change_Rate__Air_Change_Rate_Month</vt:lpstr>
      <vt:lpstr>XMLSchema_Info!XMLSchema__Air_Change_Rates__Air_Change_Rate__Air_Change_Rate_Value</vt:lpstr>
      <vt:lpstr>XMLSchema_Info!XMLSchema__Alternative_Improvements__Improvement__Energy_Performance_Rating</vt:lpstr>
      <vt:lpstr>XMLSchema_Info!XMLSchema__Alternative_Improvements__Improvement__Environmental_Impact_Rating</vt:lpstr>
      <vt:lpstr>XMLSchema_Info!XMLSchema__Alternative_Improvements__Improvement__Green_Deal_Category</vt:lpstr>
      <vt:lpstr>XMLSchema_Info!XMLSchema__Alternative_Improvements__Improvement__Improvement_Category</vt:lpstr>
      <vt:lpstr>XMLSchema_Info!XMLSchema__Alternative_Improvements__Improvement__Improvement_Details</vt:lpstr>
      <vt:lpstr>XMLSchema_Info!XMLSchema__Alternative_Improvements__Improvement__Improvement_Type</vt:lpstr>
      <vt:lpstr>XMLSchema_Info!XMLSchema__Alternative_Improvements__Improvement__Indicative_Cost</vt:lpstr>
      <vt:lpstr>XMLSchema_Info!XMLSchema__Alternative_Improvements__Improvement__Sequence</vt:lpstr>
      <vt:lpstr>XMLSchema_Info!XMLSchema__Alternative_Improvements__Improvement__Typical_Saving</vt:lpstr>
      <vt:lpstr>XMLSchema_Info!XMLSchema__Community_Heat_Sources__Community_Heat_Source__CHP_Electricity_Generation</vt:lpstr>
      <vt:lpstr>XMLSchema_Info!XMLSchema__Community_Heat_Sources__Community_Heat_Source__Description</vt:lpstr>
      <vt:lpstr>XMLSchema_Info!XMLSchema__Community_Heat_Sources__Community_Heat_Source__Fuel_Type</vt:lpstr>
      <vt:lpstr>XMLSchema_Info!XMLSchema__Community_Heat_Sources__Community_Heat_Source__Heat_Efficiency</vt:lpstr>
      <vt:lpstr>XMLSchema_Info!XMLSchema__Community_Heat_Sources__Community_Heat_Source__Heat_Fraction</vt:lpstr>
      <vt:lpstr>XMLSchema_Info!XMLSchema__Community_Heat_Sources__Community_Heat_Source__Heat_Source_Type</vt:lpstr>
      <vt:lpstr>XMLSchema_Info!XMLSchema__Community_Heat_Sources__Community_Heat_Source__PCDF_Fuel_Index</vt:lpstr>
      <vt:lpstr>XMLSchema_Info!XMLSchema__Community_Heat_Sources__Community_Heat_Source__Power_Efficiency</vt:lpstr>
      <vt:lpstr>XMLSchema_Info!XMLSchema__Energy_Assessment__Addendum__Access_Issues</vt:lpstr>
      <vt:lpstr>XMLSchema_Info!XMLSchema__Energy_Assessment__Addendum__Cavity_Fill_Recommended</vt:lpstr>
      <vt:lpstr>XMLSchema_Info!XMLSchema__Energy_Assessment__Addendum__High_Exposure</vt:lpstr>
      <vt:lpstr>XMLSchema_Info!XMLSchema__Energy_Assessment__Addendum__Narrow_Cavities</vt:lpstr>
      <vt:lpstr>XMLSchema_Info!XMLSchema__Energy_Assessment__Addendum__Stone_Walls</vt:lpstr>
      <vt:lpstr>XMLSchema_Info!XMLSchema__Energy_Assessment__Addendum__System_Build</vt:lpstr>
      <vt:lpstr>XMLSchema_Info!XMLSchema__Energy_Assessment__Alternative_Improvements__Improvement</vt:lpstr>
      <vt:lpstr>XMLSchema_Info!XMLSchema__Energy_Assessment__Energy_Use__CO2_Emissions_Current</vt:lpstr>
      <vt:lpstr>XMLSchema_Info!XMLSchema__Energy_Assessment__Energy_Use__CO2_Emissions_Current_Per_Floor_Area</vt:lpstr>
      <vt:lpstr>XMLSchema_Info!XMLSchema__Energy_Assessment__Energy_Use__CO2_Emissions_Potential</vt:lpstr>
      <vt:lpstr>XMLSchema_Info!XMLSchema__Energy_Assessment__Energy_Use__DER</vt:lpstr>
      <vt:lpstr>XMLSchema_Info!XMLSchema__Energy_Assessment__Energy_Use__DFEE</vt:lpstr>
      <vt:lpstr>XMLSchema_Info!XMLSchema__Energy_Assessment__Energy_Use__DPER</vt:lpstr>
      <vt:lpstr>XMLSchema_Info!XMLSchema__Energy_Assessment__Energy_Use__Energy_Consumption_Current</vt:lpstr>
      <vt:lpstr>XMLSchema_Info!XMLSchema__Energy_Assessment__Energy_Use__Energy_Consumption_Potential</vt:lpstr>
      <vt:lpstr>XMLSchema_Info!XMLSchema__Energy_Assessment__Energy_Use__Energy_Rating_Average</vt:lpstr>
      <vt:lpstr>XMLSchema_Info!XMLSchema__Energy_Assessment__Energy_Use__Energy_Rating_Current</vt:lpstr>
      <vt:lpstr>XMLSchema_Info!XMLSchema__Energy_Assessment__Energy_Use__Energy_Rating_Potential</vt:lpstr>
      <vt:lpstr>XMLSchema_Info!XMLSchema__Energy_Assessment__Energy_Use__Environmental_Impact_Current</vt:lpstr>
      <vt:lpstr>XMLSchema_Info!XMLSchema__Energy_Assessment__Energy_Use__Environmental_Impact_Potential</vt:lpstr>
      <vt:lpstr>XMLSchema_Info!XMLSchema__Energy_Assessment__Energy_Use__Heating_Cost_Current</vt:lpstr>
      <vt:lpstr>XMLSchema_Info!XMLSchema__Energy_Assessment__Energy_Use__Heating_Cost_Potential</vt:lpstr>
      <vt:lpstr>XMLSchema_Info!XMLSchema__Energy_Assessment__Energy_Use__Hot_Water_Cost_Current</vt:lpstr>
      <vt:lpstr>XMLSchema_Info!XMLSchema__Energy_Assessment__Energy_Use__Hot_Water_Cost_Potential</vt:lpstr>
      <vt:lpstr>XMLSchema_Info!XMLSchema__Energy_Assessment__Energy_Use__Lighting_Cost_Current</vt:lpstr>
      <vt:lpstr>XMLSchema_Info!XMLSchema__Energy_Assessment__Energy_Use__Lighting_Cost_Potential</vt:lpstr>
      <vt:lpstr>XMLSchema_Info!XMLSchema__Energy_Assessment__Energy_Use__TER</vt:lpstr>
      <vt:lpstr>XMLSchema_Info!XMLSchema__Energy_Assessment__Energy_Use__TFEE</vt:lpstr>
      <vt:lpstr>XMLSchema_Info!XMLSchema__Energy_Assessment__Energy_Use__TPER</vt:lpstr>
      <vt:lpstr>XMLSchema_Info!XMLSchema__Energy_Assessment__Green_Deal_Package__Electricity_Saving</vt:lpstr>
      <vt:lpstr>XMLSchema_Info!XMLSchema__Energy_Assessment__Green_Deal_Package__Gas_Saving</vt:lpstr>
      <vt:lpstr>XMLSchema_Info!XMLSchema__Energy_Assessment__Green_Deal_Package__Green_Deal_Improvement</vt:lpstr>
      <vt:lpstr>XMLSchema_Info!XMLSchema__Energy_Assessment__Green_Deal_Package__Other_Fuel_Saving</vt:lpstr>
      <vt:lpstr>XMLSchema_Info!XMLSchema__Energy_Assessment__LZC_Energy_Sources__LZC_Energy_Source</vt:lpstr>
      <vt:lpstr>XMLSchema_Info!XMLSchema__Energy_Assessment__Property_Summary__Air_Tightness</vt:lpstr>
      <vt:lpstr>XMLSchema_Info!XMLSchema__Energy_Assessment__Property_Summary__Dwelling_Type</vt:lpstr>
      <vt:lpstr>XMLSchema_Info!XMLSchema__Energy_Assessment__Property_Summary__Floor</vt:lpstr>
      <vt:lpstr>XMLSchema_Info!XMLSchema__Energy_Assessment__Property_Summary__Has_Fixed_Air_Conditioning</vt:lpstr>
      <vt:lpstr>XMLSchema_Info!XMLSchema__Energy_Assessment__Property_Summary__Has_Heated_Separate_Conservatory</vt:lpstr>
      <vt:lpstr>XMLSchema_Info!XMLSchema__Energy_Assessment__Property_Summary__Has_Hot_Water_Cylinder</vt:lpstr>
      <vt:lpstr>XMLSchema_Info!XMLSchema__Energy_Assessment__Property_Summary__Hot_Water</vt:lpstr>
      <vt:lpstr>XMLSchema_Info!XMLSchema__Energy_Assessment__Property_Summary__Is_Zero_Carbon_Home</vt:lpstr>
      <vt:lpstr>XMLSchema_Info!XMLSchema__Energy_Assessment__Property_Summary__Lighting</vt:lpstr>
      <vt:lpstr>XMLSchema_Info!XMLSchema__Energy_Assessment__Property_Summary__Main_Heating</vt:lpstr>
      <vt:lpstr>XMLSchema_Info!XMLSchema__Energy_Assessment__Property_Summary__Main_Heating_Controls</vt:lpstr>
      <vt:lpstr>XMLSchema_Info!XMLSchema__Energy_Assessment__Property_Summary__Multiple_Glazed_Percentage</vt:lpstr>
      <vt:lpstr>XMLSchema_Info!XMLSchema__Energy_Assessment__Property_Summary__Multiple_Glazed_Percentage_NR</vt:lpstr>
      <vt:lpstr>XMLSchema_Info!XMLSchema__Energy_Assessment__Property_Summary__Roof</vt:lpstr>
      <vt:lpstr>XMLSchema_Info!XMLSchema__Energy_Assessment__Property_Summary__Secondary_Heating</vt:lpstr>
      <vt:lpstr>XMLSchema_Info!XMLSchema__Energy_Assessment__Property_Summary__Total_Floor_Area</vt:lpstr>
      <vt:lpstr>XMLSchema_Info!XMLSchema__Energy_Assessment__Property_Summary__Walls</vt:lpstr>
      <vt:lpstr>XMLSchema_Info!XMLSchema__Energy_Assessment__Property_Summary__Windows</vt:lpstr>
      <vt:lpstr>XMLSchema_Info!XMLSchema__Energy_Assessment__Renewable_Heat_Incentive__RHI_Existing_Dwelling</vt:lpstr>
      <vt:lpstr>XMLSchema_Info!XMLSchema__Energy_Assessment__Renewable_Heat_Incentive__RHI_New_Dwelling</vt:lpstr>
      <vt:lpstr>XMLSchema_Info!XMLSchema__Energy_Assessment__Suggested_Improvements__Improvement</vt:lpstr>
      <vt:lpstr>XMLSchema_Info!XMLSchema__Energy_Feature__Air_Change_Rates__Air_Change_Rate</vt:lpstr>
      <vt:lpstr>XMLSchema_Info!XMLSchema__FGHRS_Energy_Source__Hydro_Electric_Generation_Months__Hydro_Electric_Generation_Month</vt:lpstr>
      <vt:lpstr>XMLSchema_Info!XMLSchema__FGHRS_Energy_Source__PV_Arrays__PV_Array</vt:lpstr>
      <vt:lpstr>XMLSchema_Info!XMLSchema__FGHRS_Energy_Source__Wind_Turbines__Wind_Turbine</vt:lpstr>
      <vt:lpstr>XMLSchema_Info!XMLSchema__Fixed_Lights__Fixed_Light__Lighting_Efficacy</vt:lpstr>
      <vt:lpstr>XMLSchema_Info!XMLSchema__Fixed_Lights__Fixed_Light__Lighting_Outlets</vt:lpstr>
      <vt:lpstr>XMLSchema_Info!XMLSchema__Fixed_Lights__Fixed_Light__Lighting_Power</vt:lpstr>
      <vt:lpstr>XMLSchema_Info!XMLSchema__Green_Deal_Package__Green_Deal_Improvement__Improvement_Number</vt:lpstr>
      <vt:lpstr>XMLSchema_Info!XMLSchema__Green_Deal_Package__Green_Deal_Improvement__Improvement_Type</vt:lpstr>
      <vt:lpstr>XMLSchema_Info!XMLSchema__Home_Inspector__Contact_Address__Address_Line_1</vt:lpstr>
      <vt:lpstr>XMLSchema_Info!XMLSchema__Home_Inspector__Contact_Address__Address_Line_2</vt:lpstr>
      <vt:lpstr>XMLSchema_Info!XMLSchema__Home_Inspector__Contact_Address__Address_Line_3</vt:lpstr>
      <vt:lpstr>XMLSchema_Info!XMLSchema__Home_Inspector__Contact_Address__Post_Town</vt:lpstr>
      <vt:lpstr>XMLSchema_Info!XMLSchema__Home_Inspector__Contact_Address__Postcode</vt:lpstr>
      <vt:lpstr>XMLSchema_Info!XMLSchema__Home_Inspector__Identification_Number__Certificate_Number</vt:lpstr>
      <vt:lpstr>XMLSchema_Info!XMLSchema__Home_Inspector__Identification_Number__Membership_Number</vt:lpstr>
      <vt:lpstr>XMLSchema_Info!XMLSchema__Hydro_Electric_Generation_Months__Hydro_Electric_Generation_Month__Hydro_Month</vt:lpstr>
      <vt:lpstr>XMLSchema_Info!XMLSchema__Hydro_Electric_Generation_Months__Hydro_Electric_Generation_Month__Hydro_Value</vt:lpstr>
      <vt:lpstr>XMLSchema_Info!XMLSchema__Improvement__Improvement_Details__Improvement_Number</vt:lpstr>
      <vt:lpstr>XMLSchema_Info!XMLSchema__Improvement__Improvement_Details__Improvement_Texts</vt:lpstr>
      <vt:lpstr>XMLSchema_Info!XMLSchema__Improvement_Details__Improvement_Texts__Improvement_Description</vt:lpstr>
      <vt:lpstr>XMLSchema_Info!XMLSchema__Improvement_Details__Improvement_Texts__Improvement_Heading</vt:lpstr>
      <vt:lpstr>XMLSchema_Info!XMLSchema__Improvement_Details__Improvement_Texts__Improvement_Summary</vt:lpstr>
      <vt:lpstr>XMLSchema_Info!XMLSchema__Main_Heating__FGHRS_Energy_Source__Electricity_Tariff</vt:lpstr>
      <vt:lpstr>XMLSchema_Info!XMLSchema__Main_Heating__FGHRS_Energy_Source__Hydro_Electric_Certificate</vt:lpstr>
      <vt:lpstr>XMLSchema_Info!XMLSchema__Main_Heating__FGHRS_Energy_Source__Hydro_Electric_Generation</vt:lpstr>
      <vt:lpstr>XMLSchema_Info!XMLSchema__Main_Heating__FGHRS_Energy_Source__Hydro_Electric_Generation_Months</vt:lpstr>
      <vt:lpstr>XMLSchema_Info!XMLSchema__Main_Heating__FGHRS_Energy_Source__Is_Hydro_Output_Connected_To_Dwelling_Meter</vt:lpstr>
      <vt:lpstr>XMLSchema_Info!XMLSchema__Main_Heating__FGHRS_Energy_Source__PV_Arrays</vt:lpstr>
      <vt:lpstr>XMLSchema_Info!XMLSchema__Main_Heating__FGHRS_Energy_Source__Wind_Turbines</vt:lpstr>
      <vt:lpstr>XMLSchema_Info!XMLSchema__Main_Heating__Main_Heating_Declared_Values__Efficiency</vt:lpstr>
      <vt:lpstr>XMLSchema_Info!XMLSchema__Main_Heating__Main_Heating_Declared_Values__Make_Model</vt:lpstr>
      <vt:lpstr>XMLSchema_Info!XMLSchema__Main_Heating__Main_Heating_Declared_Values__Test_Method</vt:lpstr>
      <vt:lpstr>XMLSchema_Info!XMLSchema__Main_Heating__Storage_Heaters__Storage_Heater</vt:lpstr>
      <vt:lpstr>XMLSchema_Info!XMLSchema__Main_Heating_Details__Main_Heating__Boiler_Fuel_Feed</vt:lpstr>
      <vt:lpstr>XMLSchema_Info!XMLSchema__Main_Heating_Details__Main_Heating__Burner_Control</vt:lpstr>
      <vt:lpstr>XMLSchema_Info!XMLSchema__Main_Heating_Details__Main_Heating__Case_Heat_Emission</vt:lpstr>
      <vt:lpstr>XMLSchema_Info!XMLSchema__Main_Heating_Details__Main_Heating__Central_Heating_Pump_Age</vt:lpstr>
      <vt:lpstr>XMLSchema_Info!XMLSchema__Main_Heating_Details__Main_Heating__Combi_Boiler_Type</vt:lpstr>
      <vt:lpstr>XMLSchema_Info!XMLSchema__Main_Heating_Details__Main_Heating__Condensing_Boiler_Heat_Distribution</vt:lpstr>
      <vt:lpstr>XMLSchema_Info!XMLSchema__Main_Heating_Details__Main_Heating__Control_Index_Number</vt:lpstr>
      <vt:lpstr>XMLSchema_Info!XMLSchema__Main_Heating_Details__Main_Heating__Efficiency_Type</vt:lpstr>
      <vt:lpstr>XMLSchema_Info!XMLSchema__Main_Heating_Details__Main_Heating__Electric_CPSU_Operating_Temperature</vt:lpstr>
      <vt:lpstr>XMLSchema_Info!XMLSchema__Main_Heating_Details__Main_Heating__Emitter_Temperature</vt:lpstr>
      <vt:lpstr>XMLSchema_Info!XMLSchema__Main_Heating_Details__Main_Heating__FGHRS_Energy_Source</vt:lpstr>
      <vt:lpstr>XMLSchema_Info!XMLSchema__Main_Heating_Details__Main_Heating__FGHRS_Index_Number</vt:lpstr>
      <vt:lpstr>XMLSchema_Info!XMLSchema__Main_Heating_Details__Main_Heating__Gas_Or_Oil_Boiler_Type</vt:lpstr>
      <vt:lpstr>XMLSchema_Info!XMLSchema__Main_Heating_Details__Main_Heating__Has_FGHRS</vt:lpstr>
      <vt:lpstr>XMLSchema_Info!XMLSchema__Main_Heating_Details__Main_Heating__Has_Separate_Delayed_Start</vt:lpstr>
      <vt:lpstr>XMLSchema_Info!XMLSchema__Main_Heating_Details__Main_Heating__Heat_Emitter_Type</vt:lpstr>
      <vt:lpstr>XMLSchema_Info!XMLSchema__Main_Heating_Details__Main_Heating__Heat_Pump_Heat_Distribution</vt:lpstr>
      <vt:lpstr>XMLSchema_Info!XMLSchema__Main_Heating_Details__Main_Heating__Heat_Transfer_To_Water</vt:lpstr>
      <vt:lpstr>XMLSchema_Info!XMLSchema__Main_Heating_Details__Main_Heating__Heating_Controller_Ecodesign_Class</vt:lpstr>
      <vt:lpstr>XMLSchema_Info!XMLSchema__Main_Heating_Details__Main_Heating__Heating_Controller_Function</vt:lpstr>
      <vt:lpstr>XMLSchema_Info!XMLSchema__Main_Heating_Details__Main_Heating__Heating_Controller_Manufacturer</vt:lpstr>
      <vt:lpstr>XMLSchema_Info!XMLSchema__Main_Heating_Details__Main_Heating__Heating_Controller_Model</vt:lpstr>
      <vt:lpstr>XMLSchema_Info!XMLSchema__Main_Heating_Details__Main_Heating__Is_Central_Heating_Pump_In_Heated_Space</vt:lpstr>
      <vt:lpstr>XMLSchema_Info!XMLSchema__Main_Heating_Details__Main_Heating__Is_Condensing_Boiler</vt:lpstr>
      <vt:lpstr>XMLSchema_Info!XMLSchema__Main_Heating_Details__Main_Heating__Is_Flue_Fan_Present</vt:lpstr>
      <vt:lpstr>XMLSchema_Info!XMLSchema__Main_Heating_Details__Main_Heating__Is_Interlocked_System</vt:lpstr>
      <vt:lpstr>XMLSchema_Info!XMLSchema__Main_Heating_Details__Main_Heating__Is_Main_Heating_HETAS_Approved</vt:lpstr>
      <vt:lpstr>XMLSchema_Info!XMLSchema__Main_Heating_Details__Main_Heating__Is_Oil_Pump_In_Heated_Space</vt:lpstr>
      <vt:lpstr>XMLSchema_Info!XMLSchema__Main_Heating_Details__Main_Heating__Main_Fuel_Type</vt:lpstr>
      <vt:lpstr>XMLSchema_Info!XMLSchema__Main_Heating_Details__Main_Heating__Main_Heating_Category</vt:lpstr>
      <vt:lpstr>XMLSchema_Info!XMLSchema__Main_Heating_Details__Main_Heating__Main_Heating_Code</vt:lpstr>
      <vt:lpstr>XMLSchema_Info!XMLSchema__Main_Heating_Details__Main_Heating__Main_Heating_Commissioning_Certificate</vt:lpstr>
      <vt:lpstr>XMLSchema_Info!XMLSchema__Main_Heating_Details__Main_Heating__Main_Heating_Control</vt:lpstr>
      <vt:lpstr>XMLSchema_Info!XMLSchema__Main_Heating_Details__Main_Heating__Main_Heating_Data_Source</vt:lpstr>
      <vt:lpstr>XMLSchema_Info!XMLSchema__Main_Heating_Details__Main_Heating__Main_Heating_Declared_Values</vt:lpstr>
      <vt:lpstr>XMLSchema_Info!XMLSchema__Main_Heating_Details__Main_Heating__Main_Heating_Efficiency</vt:lpstr>
      <vt:lpstr>XMLSchema_Info!XMLSchema__Main_Heating_Details__Main_Heating__Main_Heating_Efficiency_Summer</vt:lpstr>
      <vt:lpstr>XMLSchema_Info!XMLSchema__Main_Heating_Details__Main_Heating__Main_Heating_Efficiency_Winter</vt:lpstr>
      <vt:lpstr>XMLSchema_Info!XMLSchema__Main_Heating_Details__Main_Heating__Main_Heating_Flue_Type</vt:lpstr>
      <vt:lpstr>XMLSchema_Info!XMLSchema__Main_Heating_Details__Main_Heating__Main_Heating_Fraction</vt:lpstr>
      <vt:lpstr>XMLSchema_Info!XMLSchema__Main_Heating_Details__Main_Heating__Main_Heating_Index_Number</vt:lpstr>
      <vt:lpstr>XMLSchema_Info!XMLSchema__Main_Heating_Details__Main_Heating__Main_Heating_Installation_Engineer</vt:lpstr>
      <vt:lpstr>XMLSchema_Info!XMLSchema__Main_Heating_Details__Main_Heating__Main_Heating_Manufacturer</vt:lpstr>
      <vt:lpstr>XMLSchema_Info!XMLSchema__Main_Heating_Details__Main_Heating__Main_Heating_Model</vt:lpstr>
      <vt:lpstr>XMLSchema_Info!XMLSchema__Main_Heating_Details__Main_Heating__Main_Heating_Number</vt:lpstr>
      <vt:lpstr>XMLSchema_Info!XMLSchema__Main_Heating_Details__Main_Heating__Main_Heating_System_Type</vt:lpstr>
      <vt:lpstr>XMLSchema_Info!XMLSchema__Main_Heating_Details__Main_Heating__MCS_Installed_Heat_Pump</vt:lpstr>
      <vt:lpstr>XMLSchema_Info!XMLSchema__Main_Heating_Details__Main_Heating__PCDF_Fuel_Index</vt:lpstr>
      <vt:lpstr>XMLSchema_Info!XMLSchema__Main_Heating_Details__Main_Heating__Solid_Fuel_Boiler_Type</vt:lpstr>
      <vt:lpstr>XMLSchema_Info!XMLSchema__Main_Heating_Details__Main_Heating__Storage_Heaters</vt:lpstr>
      <vt:lpstr>XMLSchema_Info!XMLSchema__Main_Heating_Details__Main_Heating__Underfloor_Heat_Emitter_Type</vt:lpstr>
      <vt:lpstr>XMLSchema_Info!XMLSchema__Property__Address__Address_Line_1</vt:lpstr>
      <vt:lpstr>XMLSchema_Info!XMLSchema__Property__Address__Address_Line_2</vt:lpstr>
      <vt:lpstr>XMLSchema_Info!XMLSchema__Property__Address__Address_Line_3</vt:lpstr>
      <vt:lpstr>XMLSchema_Info!XMLSchema__Property__Address__Post_Town</vt:lpstr>
      <vt:lpstr>XMLSchema_Info!XMLSchema__Property__Address__Postcode</vt:lpstr>
      <vt:lpstr>XMLSchema_Info!XMLSchema__Property_Summary__Air_Tightness__Description</vt:lpstr>
      <vt:lpstr>XMLSchema_Info!XMLSchema__Property_Summary__Air_Tightness__Energy_Efficiency_Rating</vt:lpstr>
      <vt:lpstr>XMLSchema_Info!XMLSchema__Property_Summary__Air_Tightness__Environmental_Efficiency_Rating</vt:lpstr>
      <vt:lpstr>XMLSchema_Info!XMLSchema__Property_Summary__Floor__Description</vt:lpstr>
      <vt:lpstr>XMLSchema_Info!XMLSchema__Property_Summary__Floor__Energy_Efficiency_Rating</vt:lpstr>
      <vt:lpstr>XMLSchema_Info!XMLSchema__Property_Summary__Floor__Environmental_Efficiency_Rating</vt:lpstr>
      <vt:lpstr>XMLSchema_Info!XMLSchema__Property_Summary__Hot_Water__Description</vt:lpstr>
      <vt:lpstr>XMLSchema_Info!XMLSchema__Property_Summary__Hot_Water__Energy_Efficiency_Rating</vt:lpstr>
      <vt:lpstr>XMLSchema_Info!XMLSchema__Property_Summary__Hot_Water__Environmental_Efficiency_Rating</vt:lpstr>
      <vt:lpstr>XMLSchema_Info!XMLSchema__Property_Summary__Lighting__Description</vt:lpstr>
      <vt:lpstr>XMLSchema_Info!XMLSchema__Property_Summary__Lighting__Energy_Efficiency_Rating</vt:lpstr>
      <vt:lpstr>XMLSchema_Info!XMLSchema__Property_Summary__Lighting__Environmental_Efficiency_Rating</vt:lpstr>
      <vt:lpstr>XMLSchema_Info!XMLSchema__Property_Summary__Main_Heating__Description</vt:lpstr>
      <vt:lpstr>XMLSchema_Info!XMLSchema__Property_Summary__Main_Heating__Energy_Efficiency_Rating</vt:lpstr>
      <vt:lpstr>XMLSchema_Info!XMLSchema__Property_Summary__Main_Heating__Environmental_Efficiency_Rating</vt:lpstr>
      <vt:lpstr>XMLSchema_Info!XMLSchema__Property_Summary__Main_Heating_Controls__Description</vt:lpstr>
      <vt:lpstr>XMLSchema_Info!XMLSchema__Property_Summary__Main_Heating_Controls__Energy_Efficiency_Rating</vt:lpstr>
      <vt:lpstr>XMLSchema_Info!XMLSchema__Property_Summary__Main_Heating_Controls__Environmental_Efficiency_Rating</vt:lpstr>
      <vt:lpstr>XMLSchema_Info!XMLSchema__Property_Summary__Roof__Description</vt:lpstr>
      <vt:lpstr>XMLSchema_Info!XMLSchema__Property_Summary__Roof__Energy_Efficiency_Rating</vt:lpstr>
      <vt:lpstr>XMLSchema_Info!XMLSchema__Property_Summary__Roof__Environmental_Efficiency_Rating</vt:lpstr>
      <vt:lpstr>XMLSchema_Info!XMLSchema__Property_Summary__Secondary_Heating__Description</vt:lpstr>
      <vt:lpstr>XMLSchema_Info!XMLSchema__Property_Summary__Secondary_Heating__Energy_Efficiency_Rating</vt:lpstr>
      <vt:lpstr>XMLSchema_Info!XMLSchema__Property_Summary__Secondary_Heating__Environmental_Efficiency_Rating</vt:lpstr>
      <vt:lpstr>XMLSchema_Info!XMLSchema__Property_Summary__Walls__Description</vt:lpstr>
      <vt:lpstr>XMLSchema_Info!XMLSchema__Property_Summary__Walls__Energy_Efficiency_Rating</vt:lpstr>
      <vt:lpstr>XMLSchema_Info!XMLSchema__Property_Summary__Walls__Environmental_Efficiency_Rating</vt:lpstr>
      <vt:lpstr>XMLSchema_Info!XMLSchema__Property_Summary__Windows__Description</vt:lpstr>
      <vt:lpstr>XMLSchema_Info!XMLSchema__Property_Summary__Windows__Energy_Efficiency_Rating</vt:lpstr>
      <vt:lpstr>XMLSchema_Info!XMLSchema__Property_Summary__Windows__Environmental_Efficiency_Rating</vt:lpstr>
      <vt:lpstr>XMLSchema_Info!XMLSchema__PV_Arrays__PV_Array__MCS_Certificate</vt:lpstr>
      <vt:lpstr>XMLSchema_Info!XMLSchema__PV_Arrays__PV_Array__MCS_Certificate_Reference</vt:lpstr>
      <vt:lpstr>XMLSchema_Info!XMLSchema__PV_Arrays__PV_Array__Orientation</vt:lpstr>
      <vt:lpstr>XMLSchema_Info!XMLSchema__PV_Arrays__PV_Array__Overshading</vt:lpstr>
      <vt:lpstr>XMLSchema_Info!XMLSchema__PV_Arrays__PV_Array__Overshading_MCS</vt:lpstr>
      <vt:lpstr>XMLSchema_Info!XMLSchema__PV_Arrays__PV_Array__Peak_Power</vt:lpstr>
      <vt:lpstr>XMLSchema_Info!XMLSchema__PV_Arrays__PV_Array__Pitch</vt:lpstr>
      <vt:lpstr>XMLSchema_Info!XMLSchema__PV_Arrays__PV_Array__PV_Panel_Manufacturer_Name</vt:lpstr>
      <vt:lpstr>XMLSchema_Info!XMLSchema__Renewable_Heat_Incentive__RHI_Existing_Dwelling__Impact_Of_Cavity_Insulation</vt:lpstr>
      <vt:lpstr>XMLSchema_Info!XMLSchema__Renewable_Heat_Incentive__RHI_Existing_Dwelling__Impact_Of_Loft_Insulation</vt:lpstr>
      <vt:lpstr>XMLSchema_Info!XMLSchema__Renewable_Heat_Incentive__RHI_Existing_Dwelling__Impact_Of_Solid_Wall_Insulation</vt:lpstr>
      <vt:lpstr>XMLSchema_Info!XMLSchema__Renewable_Heat_Incentive__RHI_Existing_Dwelling__Space_Heating_Existing_Dwelling</vt:lpstr>
      <vt:lpstr>XMLSchema_Info!XMLSchema__Renewable_Heat_Incentive__RHI_Existing_Dwelling__Space_Heating_With_Cavity_Insulation</vt:lpstr>
      <vt:lpstr>XMLSchema_Info!XMLSchema__Renewable_Heat_Incentive__RHI_Existing_Dwelling__Space_Heating_With_Loft_And_Cavity_Insulation</vt:lpstr>
      <vt:lpstr>XMLSchema_Info!XMLSchema__Renewable_Heat_Incentive__RHI_Existing_Dwelling__Space_Heating_With_Loft_Insulation</vt:lpstr>
      <vt:lpstr>XMLSchema_Info!XMLSchema__Renewable_Heat_Incentive__RHI_Existing_Dwelling__Water_Heating</vt:lpstr>
      <vt:lpstr>XMLSchema_Info!XMLSchema__Renewable_Heat_Incentive__RHI_New_Dwelling__Space_Heating</vt:lpstr>
      <vt:lpstr>XMLSchema_Info!XMLSchema__Renewable_Heat_Incentive__RHI_New_Dwelling__Water_Heating</vt:lpstr>
      <vt:lpstr>XMLSchema_Info!XMLSchema__Report_Header__Home_Inspector__Company_Name</vt:lpstr>
      <vt:lpstr>XMLSchema_Info!XMLSchema__Report_Header__Home_Inspector__Contact_Address</vt:lpstr>
      <vt:lpstr>XMLSchema_Info!XMLSchema__Report_Header__Home_Inspector__E_Mail</vt:lpstr>
      <vt:lpstr>XMLSchema_Info!XMLSchema__Report_Header__Home_Inspector__Fax</vt:lpstr>
      <vt:lpstr>XMLSchema_Info!XMLSchema__Report_Header__Home_Inspector__Identification_Number</vt:lpstr>
      <vt:lpstr>XMLSchema_Info!XMLSchema__Report_Header__Home_Inspector__Name</vt:lpstr>
      <vt:lpstr>XMLSchema_Info!XMLSchema__Report_Header__Home_Inspector__Notify_Lodgement</vt:lpstr>
      <vt:lpstr>XMLSchema_Info!XMLSchema__Report_Header__Home_Inspector__Scheme_Name</vt:lpstr>
      <vt:lpstr>XMLSchema_Info!XMLSchema__Report_Header__Home_Inspector__Scheme_Web_Site</vt:lpstr>
      <vt:lpstr>XMLSchema_Info!XMLSchema__Report_Header__Home_Inspector__Telephone</vt:lpstr>
      <vt:lpstr>XMLSchema_Info!XMLSchema__Report_Header__Home_Inspector__Web_Site</vt:lpstr>
      <vt:lpstr>XMLSchema_Info!XMLSchema__Report_Header__Property__Address</vt:lpstr>
      <vt:lpstr>XMLSchema_Info!XMLSchema__Report_Header__Property__Plot_Reference</vt:lpstr>
      <vt:lpstr>XMLSchema_Info!XMLSchema__Report_Header__Property__Site_Reference</vt:lpstr>
      <vt:lpstr>XMLSchema_Info!XMLSchema__Report_Header__Property__UPRN</vt:lpstr>
      <vt:lpstr>XMLSchema_Info!XMLSchema__Report_Header__Related_Party_Disclosure__Related_Party_Disclosure_Number</vt:lpstr>
      <vt:lpstr>XMLSchema_Info!XMLSchema__Report_Header__Related_Party_Disclosure__Related_Party_Disclosure_Text</vt:lpstr>
      <vt:lpstr>XMLSchema_Info!XMLSchema__SAP_Building_Part__SAP_Floor_Dimensions__SAP_Floor_Dimension</vt:lpstr>
      <vt:lpstr>XMLSchema_Info!XMLSchema__SAP_Building_Part__SAP_Openings__SAP_Opening</vt:lpstr>
      <vt:lpstr>XMLSchema_Info!XMLSchema__SAP_Building_Part__SAP_Roofs__SAP_Roof</vt:lpstr>
      <vt:lpstr>XMLSchema_Info!XMLSchema__SAP_Building_Part__SAP_Thermal_Bridges__Calculation_Reference</vt:lpstr>
      <vt:lpstr>XMLSchema_Info!XMLSchema__SAP_Building_Part__SAP_Thermal_Bridges__SAP_Thermal_Bridge</vt:lpstr>
      <vt:lpstr>XMLSchema_Info!XMLSchema__SAP_Building_Part__SAP_Thermal_Bridges__Thermal_Bridge_Code</vt:lpstr>
      <vt:lpstr>XMLSchema_Info!XMLSchema__SAP_Building_Part__SAP_Thermal_Bridges__User_Defined_Y_Value</vt:lpstr>
      <vt:lpstr>XMLSchema_Info!XMLSchema__SAP_Building_Part__SAP_Walls__SAP_Wall</vt:lpstr>
      <vt:lpstr>XMLSchema_Info!XMLSchema__SAP_Building_Parts__SAP_Building_Part__Building_Part_Number</vt:lpstr>
      <vt:lpstr>XMLSchema_Info!XMLSchema__SAP_Building_Parts__SAP_Building_Part__Construction_Age_Band</vt:lpstr>
      <vt:lpstr>XMLSchema_Info!XMLSchema__SAP_Building_Parts__SAP_Building_Part__Construction_Year</vt:lpstr>
      <vt:lpstr>XMLSchema_Info!XMLSchema__SAP_Building_Parts__SAP_Building_Part__Identifier</vt:lpstr>
      <vt:lpstr>XMLSchema_Info!XMLSchema__SAP_Building_Parts__SAP_Building_Part__SAP_Floor_Dimensions</vt:lpstr>
      <vt:lpstr>XMLSchema_Info!XMLSchema__SAP_Building_Parts__SAP_Building_Part__SAP_Openings</vt:lpstr>
      <vt:lpstr>XMLSchema_Info!XMLSchema__SAP_Building_Parts__SAP_Building_Part__SAP_Roofs</vt:lpstr>
      <vt:lpstr>XMLSchema_Info!XMLSchema__SAP_Building_Parts__SAP_Building_Part__SAP_Thermal_Bridges</vt:lpstr>
      <vt:lpstr>XMLSchema_Info!XMLSchema__SAP_Building_Parts__SAP_Building_Part__SAP_Walls</vt:lpstr>
      <vt:lpstr>XMLSchema_Info!XMLSchema__SAP_Community_Heating_System__Community_Heat_Sources__Community_Heat_Source</vt:lpstr>
      <vt:lpstr>XMLSchema_Info!XMLSchema__SAP_Community_Heating_Systems__SAP_Community_Heating_System__Charging_Linked_To_Heat_Use</vt:lpstr>
      <vt:lpstr>XMLSchema_Info!XMLSchema__SAP_Community_Heating_Systems__SAP_Community_Heating_System__Community_Heat_Sources</vt:lpstr>
      <vt:lpstr>XMLSchema_Info!XMLSchema__SAP_Community_Heating_Systems__SAP_Community_Heating_System__Community_Heating_CO2_Emission_Factor</vt:lpstr>
      <vt:lpstr>XMLSchema_Info!XMLSchema__SAP_Community_Heating_Systems__SAP_Community_Heating_System__Community_Heating_Distribution_Loss_Factor</vt:lpstr>
      <vt:lpstr>XMLSchema_Info!XMLSchema__SAP_Community_Heating_Systems__SAP_Community_Heating_System__Community_Heating_Distribution_Type</vt:lpstr>
      <vt:lpstr>XMLSchema_Info!XMLSchema__SAP_Community_Heating_Systems__SAP_Community_Heating_System__Community_Heating_Name</vt:lpstr>
      <vt:lpstr>XMLSchema_Info!XMLSchema__SAP_Community_Heating_Systems__SAP_Community_Heating_System__Community_Heating_Primary_Energy_Factor</vt:lpstr>
      <vt:lpstr>XMLSchema_Info!XMLSchema__SAP_Community_Heating_Systems__SAP_Community_Heating_System__Community_Heating_Use</vt:lpstr>
      <vt:lpstr>XMLSchema_Info!XMLSchema__SAP_Community_Heating_Systems__SAP_Community_Heating_System__Heat_Network_Assessed_As_New</vt:lpstr>
      <vt:lpstr>XMLSchema_Info!XMLSchema__SAP_Community_Heating_Systems__SAP_Community_Heating_System__Heat_Network_Existing</vt:lpstr>
      <vt:lpstr>XMLSchema_Info!XMLSchema__SAP_Community_Heating_Systems__SAP_Community_Heating_System__Heat_Network_Index_Number</vt:lpstr>
      <vt:lpstr>XMLSchema_Info!XMLSchema__SAP_Community_Heating_Systems__SAP_Community_Heating_System__HIU_Index_Number</vt:lpstr>
      <vt:lpstr>XMLSchema_Info!XMLSchema__SAP_Community_Heating_Systems__SAP_Community_Heating_System__Is_Community_Heating_Cylinder_In_Dwelling</vt:lpstr>
      <vt:lpstr>XMLSchema_Info!XMLSchema__SAP_Community_Heating_Systems__SAP_Community_Heating_System__Is_HIU_In_Dwelling</vt:lpstr>
      <vt:lpstr>XMLSchema_Info!XMLSchema__SAP_Community_Heating_Systems__SAP_Community_Heating_System__Sub_Network_Name</vt:lpstr>
      <vt:lpstr>XMLSchema_Info!XMLSchema__SAP_Compliance_Report__Client_Address__Address_Line_1</vt:lpstr>
      <vt:lpstr>XMLSchema_Info!XMLSchema__SAP_Compliance_Report__Client_Address__Address_Line_2</vt:lpstr>
      <vt:lpstr>XMLSchema_Info!XMLSchema__SAP_Compliance_Report__Client_Address__Address_Line_3</vt:lpstr>
      <vt:lpstr>XMLSchema_Info!XMLSchema__SAP_Compliance_Report__Client_Address__Post_Town</vt:lpstr>
      <vt:lpstr>XMLSchema_Info!XMLSchema__SAP_Compliance_Report__Client_Address__Postcode</vt:lpstr>
      <vt:lpstr>XMLSchema_Info!XMLSchema__SAP_Compliance_Report__SAP_Report__Calculation_Software_Name</vt:lpstr>
      <vt:lpstr>XMLSchema_Info!XMLSchema__SAP_Compliance_Report__SAP_Report__Calculation_Software_Version</vt:lpstr>
      <vt:lpstr>XMLSchema_Info!XMLSchema__SAP_Compliance_Report__SAP_Report__Energy_Assessment</vt:lpstr>
      <vt:lpstr>XMLSchema_Info!XMLSchema__SAP_Compliance_Report__SAP_Report__ExternalDefinitions_Revision_Number</vt:lpstr>
      <vt:lpstr>XMLSchema_Info!XMLSchema__SAP_Compliance_Report__SAP_Report__Insurance_Details</vt:lpstr>
      <vt:lpstr>XMLSchema_Info!XMLSchema__SAP_Compliance_Report__SAP_Report__PCDF_Revision_Number</vt:lpstr>
      <vt:lpstr>XMLSchema_Info!XMLSchema__SAP_Compliance_Report__SAP_Report__PDF</vt:lpstr>
      <vt:lpstr>XMLSchema_Info!XMLSchema__SAP_Compliance_Report__SAP_Report__Report_Header</vt:lpstr>
      <vt:lpstr>XMLSchema_Info!XMLSchema__SAP_Compliance_Report__SAP_Report__SAP_Data_Version</vt:lpstr>
      <vt:lpstr>XMLSchema_Info!XMLSchema__SAP_Compliance_Report__SAP_Report__SAP_Version</vt:lpstr>
      <vt:lpstr>XMLSchema_Info!XMLSchema__SAP_Compliance_Report__SAP_Report__SAP10_Data</vt:lpstr>
      <vt:lpstr>XMLSchema_Info!XMLSchema__SAP_Compliance_Report__SAP_Report__Schema_Version_Current</vt:lpstr>
      <vt:lpstr>XMLSchema_Info!XMLSchema__SAP_Compliance_Report__SAP_Report__Schema_Version_Original</vt:lpstr>
      <vt:lpstr>XMLSchema_Info!XMLSchema__SAP_Compliance_Report__SAP_Report__User_Interface_Name</vt:lpstr>
      <vt:lpstr>XMLSchema_Info!XMLSchema__SAP_Compliance_Report__SAP_Report__User_Interface_Version</vt:lpstr>
      <vt:lpstr>XMLSchema_Info!XMLSchema__SAP_Energy_Source__Hydro_Electric_Generation_Months__Hydro_Electric_Generation_Month</vt:lpstr>
      <vt:lpstr>XMLSchema_Info!XMLSchema__SAP_Energy_Source__PV_Arrays__PV_Array</vt:lpstr>
      <vt:lpstr>XMLSchema_Info!XMLSchema__SAP_Energy_Source__Wind_Turbines__Wind_Turbine</vt:lpstr>
      <vt:lpstr>XMLSchema_Info!XMLSchema__SAP_Floor_Dimensions__SAP_Floor_Dimension__Description</vt:lpstr>
      <vt:lpstr>XMLSchema_Info!XMLSchema__SAP_Floor_Dimensions__SAP_Floor_Dimension__Floor_Type</vt:lpstr>
      <vt:lpstr>XMLSchema_Info!XMLSchema__SAP_Floor_Dimensions__SAP_Floor_Dimension__Heat_Loss_Area</vt:lpstr>
      <vt:lpstr>XMLSchema_Info!XMLSchema__SAP_Floor_Dimensions__SAP_Floor_Dimension__Kappa_Value</vt:lpstr>
      <vt:lpstr>XMLSchema_Info!XMLSchema__SAP_Floor_Dimensions__SAP_Floor_Dimension__Kappa_Value_From_Below</vt:lpstr>
      <vt:lpstr>XMLSchema_Info!XMLSchema__SAP_Floor_Dimensions__SAP_Floor_Dimension__Name</vt:lpstr>
      <vt:lpstr>XMLSchema_Info!XMLSchema__SAP_Floor_Dimensions__SAP_Floor_Dimension__Storey</vt:lpstr>
      <vt:lpstr>XMLSchema_Info!XMLSchema__SAP_Floor_Dimensions__SAP_Floor_Dimension__Storey_Height</vt:lpstr>
      <vt:lpstr>XMLSchema_Info!XMLSchema__SAP_Floor_Dimensions__SAP_Floor_Dimension__Total_Floor_Area</vt:lpstr>
      <vt:lpstr>XMLSchema_Info!XMLSchema__SAP_Floor_Dimensions__SAP_Floor_Dimension__U_Value</vt:lpstr>
      <vt:lpstr>XMLSchema_Info!XMLSchema__SAP_Heating__Instantaneous_WWHRS__WWHRS_Efficiency1</vt:lpstr>
      <vt:lpstr>XMLSchema_Info!XMLSchema__SAP_Heating__Instantaneous_WWHRS__WWHRS_Efficiency2</vt:lpstr>
      <vt:lpstr>XMLSchema_Info!XMLSchema__SAP_Heating__Instantaneous_WWHRS__WWHRS_Index_Number1</vt:lpstr>
      <vt:lpstr>XMLSchema_Info!XMLSchema__SAP_Heating__Instantaneous_WWHRS__WWHRS_Index_Number2</vt:lpstr>
      <vt:lpstr>XMLSchema_Info!XMLSchema__SAP_Heating__Instantaneous_WWHRS__WWHRS_Manufacturer1</vt:lpstr>
      <vt:lpstr>XMLSchema_Info!XMLSchema__SAP_Heating__Instantaneous_WWHRS__WWHRS_Manufacturer2</vt:lpstr>
      <vt:lpstr>XMLSchema_Info!XMLSchema__SAP_Heating__Instantaneous_WWHRS__WWHRS_Model1</vt:lpstr>
      <vt:lpstr>XMLSchema_Info!XMLSchema__SAP_Heating__Instantaneous_WWHRS__WWHRS_Model2</vt:lpstr>
      <vt:lpstr>XMLSchema_Info!XMLSchema__SAP_Heating__Main_Heating_Details__Main_Heating</vt:lpstr>
      <vt:lpstr>XMLSchema_Info!XMLSchema__SAP_Heating__SAP_Community_Heating_Systems__SAP_Community_Heating_System</vt:lpstr>
      <vt:lpstr>XMLSchema_Info!XMLSchema__SAP_Heating__Secondary_Heating_Declared_Values__Efficiency</vt:lpstr>
      <vt:lpstr>XMLSchema_Info!XMLSchema__SAP_Heating__Secondary_Heating_Declared_Values__Make_Model</vt:lpstr>
      <vt:lpstr>XMLSchema_Info!XMLSchema__SAP_Heating__Secondary_Heating_Declared_Values__Test_Method</vt:lpstr>
      <vt:lpstr>XMLSchema_Info!XMLSchema__SAP_Heating__Shower_Outlets__Shower_Outlet</vt:lpstr>
      <vt:lpstr>XMLSchema_Info!XMLSchema__SAP_Heating__Solar_Heating_Details__Collector_Loop_Efficiency</vt:lpstr>
      <vt:lpstr>XMLSchema_Info!XMLSchema__SAP_Heating__Solar_Heating_Details__Has_Solar_Powered_Pump</vt:lpstr>
      <vt:lpstr>XMLSchema_Info!XMLSchema__SAP_Heating__Solar_Heating_Details__Incidence_Angle_Modifier</vt:lpstr>
      <vt:lpstr>XMLSchema_Info!XMLSchema__SAP_Heating__Solar_Heating_Details__Is_Community_Solar</vt:lpstr>
      <vt:lpstr>XMLSchema_Info!XMLSchema__SAP_Heating__Solar_Heating_Details__Is_Solar_Store_Combined_Cylinder</vt:lpstr>
      <vt:lpstr>XMLSchema_Info!XMLSchema__SAP_Heating__Solar_Heating_Details__Overall_Heat_Loss</vt:lpstr>
      <vt:lpstr>XMLSchema_Info!XMLSchema__SAP_Heating__Solar_Heating_Details__Service_Provision</vt:lpstr>
      <vt:lpstr>XMLSchema_Info!XMLSchema__SAP_Heating__Solar_Heating_Details__Solar_Heating_Certificate</vt:lpstr>
      <vt:lpstr>XMLSchema_Info!XMLSchema__SAP_Heating__Solar_Heating_Details__Solar_Heating_Collector_Manufacturer</vt:lpstr>
      <vt:lpstr>XMLSchema_Info!XMLSchema__SAP_Heating__Solar_Heating_Details__Solar_Panel_Aperture_Area</vt:lpstr>
      <vt:lpstr>XMLSchema_Info!XMLSchema__SAP_Heating__Solar_Heating_Details__Solar_Panel_Collector_Data_Source</vt:lpstr>
      <vt:lpstr>XMLSchema_Info!XMLSchema__SAP_Heating__Solar_Heating_Details__Solar_Panel_Collector_Heat_Loss_Rate</vt:lpstr>
      <vt:lpstr>XMLSchema_Info!XMLSchema__SAP_Heating__Solar_Heating_Details__Solar_Panel_Collector_Linear_Heat_Loss_Coefficient</vt:lpstr>
      <vt:lpstr>XMLSchema_Info!XMLSchema__SAP_Heating__Solar_Heating_Details__Solar_Panel_Collector_Orientation</vt:lpstr>
      <vt:lpstr>XMLSchema_Info!XMLSchema__SAP_Heating__Solar_Heating_Details__Solar_Panel_Collector_Overshading</vt:lpstr>
      <vt:lpstr>XMLSchema_Info!XMLSchema__SAP_Heating__Solar_Heating_Details__Solar_Panel_Collector_Pitch</vt:lpstr>
      <vt:lpstr>XMLSchema_Info!XMLSchema__SAP_Heating__Solar_Heating_Details__Solar_Panel_Collector_Second_Order_Heat_Loss_Coefficient</vt:lpstr>
      <vt:lpstr>XMLSchema_Info!XMLSchema__SAP_Heating__Solar_Heating_Details__Solar_Panel_Collector_Type</vt:lpstr>
      <vt:lpstr>XMLSchema_Info!XMLSchema__SAP_Heating__Solar_Heating_Details__Solar_Panel_Collector_Zero_Loss_Efficiency</vt:lpstr>
      <vt:lpstr>XMLSchema_Info!XMLSchema__SAP_Heating__Solar_Heating_Details__Solar_Store_Volume</vt:lpstr>
      <vt:lpstr>XMLSchema_Info!XMLSchema__SAP_Heating__Storage_WWHRS__Storage_WWHRS_Efficiency</vt:lpstr>
      <vt:lpstr>XMLSchema_Info!XMLSchema__SAP_Heating__Storage_WWHRS__Storage_WWHRS_Manufacturer</vt:lpstr>
      <vt:lpstr>XMLSchema_Info!XMLSchema__SAP_Heating__Storage_WWHRS__Storage_WWHRS_Model</vt:lpstr>
      <vt:lpstr>XMLSchema_Info!XMLSchema__SAP_Heating__Storage_WWHRS__WWHRS_Index_Number</vt:lpstr>
      <vt:lpstr>XMLSchema_Info!XMLSchema__SAP_Heating__Storage_WWHRS__WWHRS_Store_Volume</vt:lpstr>
      <vt:lpstr>XMLSchema_Info!XMLSchema__SAP_Lighting__Fixed_Lights__Fixed_Light</vt:lpstr>
      <vt:lpstr>XMLSchema_Info!XMLSchema__SAP_Opening_Types__SAP_Opening_Type__Data_Source</vt:lpstr>
      <vt:lpstr>XMLSchema_Info!XMLSchema__SAP_Opening_Types__SAP_Opening_Type__Description</vt:lpstr>
      <vt:lpstr>XMLSchema_Info!XMLSchema__SAP_Opening_Types__SAP_Opening_Type__Frame_Factor</vt:lpstr>
      <vt:lpstr>XMLSchema_Info!XMLSchema__SAP_Opening_Types__SAP_Opening_Type__Frame_Type</vt:lpstr>
      <vt:lpstr>XMLSchema_Info!XMLSchema__SAP_Opening_Types__SAP_Opening_Type__Glazing_Gap</vt:lpstr>
      <vt:lpstr>XMLSchema_Info!XMLSchema__SAP_Opening_Types__SAP_Opening_Type__Glazing_Type</vt:lpstr>
      <vt:lpstr>XMLSchema_Info!XMLSchema__SAP_Opening_Types__SAP_Opening_Type__IsArgonFilled</vt:lpstr>
      <vt:lpstr>XMLSchema_Info!XMLSchema__SAP_Opening_Types__SAP_Opening_Type__IsKryptonFilled</vt:lpstr>
      <vt:lpstr>XMLSchema_Info!XMLSchema__SAP_Opening_Types__SAP_Opening_Type__Name</vt:lpstr>
      <vt:lpstr>XMLSchema_Info!XMLSchema__SAP_Opening_Types__SAP_Opening_Type__Solar_Transmittance</vt:lpstr>
      <vt:lpstr>XMLSchema_Info!XMLSchema__SAP_Opening_Types__SAP_Opening_Type__Type</vt:lpstr>
      <vt:lpstr>XMLSchema_Info!XMLSchema__SAP_Opening_Types__SAP_Opening_Type__U_Value</vt:lpstr>
      <vt:lpstr>XMLSchema_Info!XMLSchema__SAP_Openings__SAP_Opening__Height</vt:lpstr>
      <vt:lpstr>XMLSchema_Info!XMLSchema__SAP_Openings__SAP_Opening__Location</vt:lpstr>
      <vt:lpstr>XMLSchema_Info!XMLSchema__SAP_Openings__SAP_Opening__Name</vt:lpstr>
      <vt:lpstr>XMLSchema_Info!XMLSchema__SAP_Openings__SAP_Opening__Orientation</vt:lpstr>
      <vt:lpstr>XMLSchema_Info!XMLSchema__SAP_Openings__SAP_Opening__Pitch</vt:lpstr>
      <vt:lpstr>XMLSchema_Info!XMLSchema__SAP_Openings__SAP_Opening__Type</vt:lpstr>
      <vt:lpstr>XMLSchema_Info!XMLSchema__SAP_Openings__SAP_Opening__Width</vt:lpstr>
      <vt:lpstr>XMLSchema_Info!XMLSchema__SAP_Property_Details__SAP_Building_Parts__SAP_Building_Part</vt:lpstr>
      <vt:lpstr>XMLSchema_Info!XMLSchema__SAP_Property_Details__SAP_Cooling__Cooled_Area</vt:lpstr>
      <vt:lpstr>XMLSchema_Info!XMLSchema__SAP_Property_Details__SAP_Cooling__Cooling_System_Class</vt:lpstr>
      <vt:lpstr>XMLSchema_Info!XMLSchema__SAP_Property_Details__SAP_Cooling__Cooling_System_Data_Source</vt:lpstr>
      <vt:lpstr>XMLSchema_Info!XMLSchema__SAP_Property_Details__SAP_Cooling__System_Energy_Efficiency_Ratio</vt:lpstr>
      <vt:lpstr>XMLSchema_Info!XMLSchema__SAP_Property_Details__SAP_Deselected_Improvements__Deselected_Improvement_Measure</vt:lpstr>
      <vt:lpstr>XMLSchema_Info!XMLSchema__SAP_Property_Details__SAP_Energy_Source__Electricity_Tariff</vt:lpstr>
      <vt:lpstr>XMLSchema_Info!XMLSchema__SAP_Property_Details__SAP_Energy_Source__Hydro_Electric_Certificate</vt:lpstr>
      <vt:lpstr>XMLSchema_Info!XMLSchema__SAP_Property_Details__SAP_Energy_Source__Hydro_Electric_Generation</vt:lpstr>
      <vt:lpstr>XMLSchema_Info!XMLSchema__SAP_Property_Details__SAP_Energy_Source__Hydro_Electric_Generation_Months</vt:lpstr>
      <vt:lpstr>XMLSchema_Info!XMLSchema__SAP_Property_Details__SAP_Energy_Source__Is_Hydro_Output_Connected_To_Dwelling_Meter</vt:lpstr>
      <vt:lpstr>XMLSchema_Info!XMLSchema__SAP_Property_Details__SAP_Energy_Source__PV_Arrays</vt:lpstr>
      <vt:lpstr>XMLSchema_Info!XMLSchema__SAP_Property_Details__SAP_Energy_Source__Wind_Turbines</vt:lpstr>
      <vt:lpstr>XMLSchema_Info!XMLSchema__SAP_Property_Details__SAP_Flat_Details__Level</vt:lpstr>
      <vt:lpstr>XMLSchema_Info!XMLSchema__SAP_Property_Details__SAP_Flat_Details__Storeys</vt:lpstr>
      <vt:lpstr>XMLSchema_Info!XMLSchema__SAP_Property_Details__SAP_Heating__Has_Cylinder_Thermostat</vt:lpstr>
      <vt:lpstr>XMLSchema_Info!XMLSchema__SAP_Property_Details__SAP_Heating__Has_Fixed_Air_Conditioning</vt:lpstr>
      <vt:lpstr>XMLSchema_Info!XMLSchema__SAP_Property_Details__SAP_Heating__Has_Hot_Water_Cylinder</vt:lpstr>
      <vt:lpstr>XMLSchema_Info!XMLSchema__SAP_Property_Details__SAP_Heating__Hot_Water_Controls_Manufacturer</vt:lpstr>
      <vt:lpstr>XMLSchema_Info!XMLSchema__SAP_Property_Details__SAP_Heating__Hot_Water_Controls_Model</vt:lpstr>
      <vt:lpstr>XMLSchema_Info!XMLSchema__SAP_Property_Details__SAP_Heating__Hot_Water_Store_Commissioning_Certificate</vt:lpstr>
      <vt:lpstr>XMLSchema_Info!XMLSchema__SAP_Property_Details__SAP_Heating__Hot_Water_Store_Heat_Loss</vt:lpstr>
      <vt:lpstr>XMLSchema_Info!XMLSchema__SAP_Property_Details__SAP_Heating__Hot_Water_Store_Heat_Loss_Source</vt:lpstr>
      <vt:lpstr>XMLSchema_Info!XMLSchema__SAP_Property_Details__SAP_Heating__Hot_Water_Store_Heat_Transfer_Area</vt:lpstr>
      <vt:lpstr>XMLSchema_Info!XMLSchema__SAP_Property_Details__SAP_Heating__Hot_Water_Store_Installer_Engineer_Registration</vt:lpstr>
      <vt:lpstr>XMLSchema_Info!XMLSchema__SAP_Property_Details__SAP_Heating__Hot_Water_Store_Insulation_Thickness</vt:lpstr>
      <vt:lpstr>XMLSchema_Info!XMLSchema__SAP_Property_Details__SAP_Heating__Hot_Water_Store_Insulation_Type</vt:lpstr>
      <vt:lpstr>XMLSchema_Info!XMLSchema__SAP_Property_Details__SAP_Heating__Hot_Water_Store_Manufacturer</vt:lpstr>
      <vt:lpstr>XMLSchema_Info!XMLSchema__SAP_Property_Details__SAP_Heating__Hot_Water_Store_Model</vt:lpstr>
      <vt:lpstr>XMLSchema_Info!XMLSchema__SAP_Property_Details__SAP_Heating__Hot_Water_Store_Size</vt:lpstr>
      <vt:lpstr>XMLSchema_Info!XMLSchema__SAP_Property_Details__SAP_Heating__Immersion_Heating_Type</vt:lpstr>
      <vt:lpstr>XMLSchema_Info!XMLSchema__SAP_Property_Details__SAP_Heating__Instantaneous_WWHRS</vt:lpstr>
      <vt:lpstr>XMLSchema_Info!XMLSchema__SAP_Property_Details__SAP_Heating__Is_Cylinder_In_Heated_Space</vt:lpstr>
      <vt:lpstr>XMLSchema_Info!XMLSchema__SAP_Property_Details__SAP_Heating__Is_Heat_Pump_Assisted_By_Immersion</vt:lpstr>
      <vt:lpstr>XMLSchema_Info!XMLSchema__SAP_Property_Details__SAP_Heating__Is_Heat_Pump_Installed_To_MIS</vt:lpstr>
      <vt:lpstr>XMLSchema_Info!XMLSchema__SAP_Property_Details__SAP_Heating__Is_Hot_Water_Separately_Timed</vt:lpstr>
      <vt:lpstr>XMLSchema_Info!XMLSchema__SAP_Property_Details__SAP_Heating__Is_Immersion_For_Summer_Use</vt:lpstr>
      <vt:lpstr>XMLSchema_Info!XMLSchema__SAP_Property_Details__SAP_Heating__Is_Secondary_Heating_HETAS_Approved</vt:lpstr>
      <vt:lpstr>XMLSchema_Info!XMLSchema__SAP_Property_Details__SAP_Heating__Is_Thermal_Store_Near_Boiler</vt:lpstr>
      <vt:lpstr>XMLSchema_Info!XMLSchema__SAP_Property_Details__SAP_Heating__Is_Thermal_Store_Or_CPSU_In_Airing_Cupboard</vt:lpstr>
      <vt:lpstr>XMLSchema_Info!XMLSchema__SAP_Property_Details__SAP_Heating__Main_Heating_Details</vt:lpstr>
      <vt:lpstr>XMLSchema_Info!XMLSchema__SAP_Property_Details__SAP_Heating__Main_Heating_Systems_Interaction</vt:lpstr>
      <vt:lpstr>XMLSchema_Info!XMLSchema__SAP_Property_Details__SAP_Heating__Number_Baths</vt:lpstr>
      <vt:lpstr>XMLSchema_Info!XMLSchema__SAP_Property_Details__SAP_Heating__Number_Baths_WWHRS</vt:lpstr>
      <vt:lpstr>XMLSchema_Info!XMLSchema__SAP_Property_Details__SAP_Heating__Primary_Pipework_Insulation</vt:lpstr>
      <vt:lpstr>XMLSchema_Info!XMLSchema__SAP_Property_Details__SAP_Heating__SAP_Community_Heating_Systems</vt:lpstr>
      <vt:lpstr>XMLSchema_Info!XMLSchema__SAP_Property_Details__SAP_Heating__SAP_Heating_Design_Water_Use</vt:lpstr>
      <vt:lpstr>XMLSchema_Info!XMLSchema__SAP_Property_Details__SAP_Heating__Secondary_Fuel_Type</vt:lpstr>
      <vt:lpstr>XMLSchema_Info!XMLSchema__SAP_Property_Details__SAP_Heating__Secondary_Heating_Category</vt:lpstr>
      <vt:lpstr>XMLSchema_Info!XMLSchema__SAP_Property_Details__SAP_Heating__Secondary_Heating_Code</vt:lpstr>
      <vt:lpstr>XMLSchema_Info!XMLSchema__SAP_Property_Details__SAP_Heating__Secondary_Heating_Commisioning_Certificate</vt:lpstr>
      <vt:lpstr>XMLSchema_Info!XMLSchema__SAP_Property_Details__SAP_Heating__Secondary_Heating_Data_Source</vt:lpstr>
      <vt:lpstr>XMLSchema_Info!XMLSchema__SAP_Property_Details__SAP_Heating__Secondary_Heating_Declared_Values</vt:lpstr>
      <vt:lpstr>XMLSchema_Info!XMLSchema__SAP_Property_Details__SAP_Heating__Secondary_Heating_Efficiency</vt:lpstr>
      <vt:lpstr>XMLSchema_Info!XMLSchema__SAP_Property_Details__SAP_Heating__Secondary_Heating_Flue_Type</vt:lpstr>
      <vt:lpstr>XMLSchema_Info!XMLSchema__SAP_Property_Details__SAP_Heating__Secondary_Heating_Installation_Engineer</vt:lpstr>
      <vt:lpstr>XMLSchema_Info!XMLSchema__SAP_Property_Details__SAP_Heating__Secondary_Heating_PCDF_Fuel_Index</vt:lpstr>
      <vt:lpstr>XMLSchema_Info!XMLSchema__SAP_Property_Details__SAP_Heating__Shower_Outlets</vt:lpstr>
      <vt:lpstr>XMLSchema_Info!XMLSchema__SAP_Property_Details__SAP_Heating__Solar_Heating_Details</vt:lpstr>
      <vt:lpstr>XMLSchema_Info!XMLSchema__SAP_Property_Details__SAP_Heating__Storage_WWHRS</vt:lpstr>
      <vt:lpstr>XMLSchema_Info!XMLSchema__SAP_Property_Details__SAP_Heating__Thermal_Store</vt:lpstr>
      <vt:lpstr>XMLSchema_Info!XMLSchema__SAP_Property_Details__SAP_Heating__Water_Fuel_Type</vt:lpstr>
      <vt:lpstr>XMLSchema_Info!XMLSchema__SAP_Property_Details__SAP_Heating__Water_Heating_Code</vt:lpstr>
      <vt:lpstr>XMLSchema_Info!XMLSchema__SAP_Property_Details__SAP_Lighting__Fixed_Lights</vt:lpstr>
      <vt:lpstr>XMLSchema_Info!XMLSchema__SAP_Property_Details__SAP_Opening_Types__SAP_Opening_Type</vt:lpstr>
      <vt:lpstr>XMLSchema_Info!XMLSchema__SAP_Property_Details__SAP_Special_Features__SAP_Special_Feature</vt:lpstr>
      <vt:lpstr>XMLSchema_Info!XMLSchema__SAP_Property_Details__SAP_Ventilation__Air_Permeability</vt:lpstr>
      <vt:lpstr>XMLSchema_Info!XMLSchema__SAP_Property_Details__SAP_Ventilation__Blocked_Chimneys_Count</vt:lpstr>
      <vt:lpstr>XMLSchema_Info!XMLSchema__SAP_Property_Details__SAP_Ventilation__Boilers_Flues_Count</vt:lpstr>
      <vt:lpstr>XMLSchema_Info!XMLSchema__SAP_Property_Details__SAP_Ventilation__Closed_Flues_Count</vt:lpstr>
      <vt:lpstr>XMLSchema_Info!XMLSchema__SAP_Property_Details__SAP_Ventilation__DraughtStripping</vt:lpstr>
      <vt:lpstr>XMLSchema_Info!XMLSchema__SAP_Property_Details__SAP_Ventilation__Extract_Fans_Count</vt:lpstr>
      <vt:lpstr>XMLSchema_Info!XMLSchema__SAP_Property_Details__SAP_Ventilation__Fans_Vents_Count</vt:lpstr>
      <vt:lpstr>XMLSchema_Info!XMLSchema__SAP_Property_Details__SAP_Ventilation__Flueless_Gas_Fires_Count</vt:lpstr>
      <vt:lpstr>XMLSchema_Info!XMLSchema__SAP_Property_Details__SAP_Ventilation__Ground_Floor_Type</vt:lpstr>
      <vt:lpstr>XMLSchema_Info!XMLSchema__SAP_Property_Details__SAP_Ventilation__Has_Draught_Lobby</vt:lpstr>
      <vt:lpstr>XMLSchema_Info!XMLSchema__SAP_Property_Details__SAP_Ventilation__Is_Mechanical_Vent_Approved_Installer_Scheme</vt:lpstr>
      <vt:lpstr>XMLSchema_Info!XMLSchema__SAP_Property_Details__SAP_Ventilation__Kitchen_Duct_Fans_Count</vt:lpstr>
      <vt:lpstr>XMLSchema_Info!XMLSchema__SAP_Property_Details__SAP_Ventilation__Kitchen_Duct_Fans_Specific_Power</vt:lpstr>
      <vt:lpstr>XMLSchema_Info!XMLSchema__SAP_Property_Details__SAP_Ventilation__Kitchen_Room_Fans_Count</vt:lpstr>
      <vt:lpstr>XMLSchema_Info!XMLSchema__SAP_Property_Details__SAP_Ventilation__Kitchen_Room_Fans_Specific_Power</vt:lpstr>
      <vt:lpstr>XMLSchema_Info!XMLSchema__SAP_Property_Details__SAP_Ventilation__Kitchen_Wall_Fans_Count</vt:lpstr>
      <vt:lpstr>XMLSchema_Info!XMLSchema__SAP_Property_Details__SAP_Ventilation__Kitchen_Wall_Fans_Specific_Power</vt:lpstr>
      <vt:lpstr>XMLSchema_Info!XMLSchema__SAP_Property_Details__SAP_Ventilation__Mechanical_Vent_Commissioning_Certificate_Number</vt:lpstr>
      <vt:lpstr>XMLSchema_Info!XMLSchema__SAP_Property_Details__SAP_Ventilation__Mechanical_Vent_Duct_Insulation</vt:lpstr>
      <vt:lpstr>XMLSchema_Info!XMLSchema__SAP_Property_Details__SAP_Ventilation__Mechanical_Vent_Duct_Insulation_Level</vt:lpstr>
      <vt:lpstr>XMLSchema_Info!XMLSchema__SAP_Property_Details__SAP_Ventilation__Mechanical_Vent_Duct_Placement</vt:lpstr>
      <vt:lpstr>XMLSchema_Info!XMLSchema__SAP_Property_Details__SAP_Ventilation__Mechanical_Vent_Duct_Type</vt:lpstr>
      <vt:lpstr>XMLSchema_Info!XMLSchema__SAP_Property_Details__SAP_Ventilation__Mechanical_Vent_Ducts_Index_Number</vt:lpstr>
      <vt:lpstr>XMLSchema_Info!XMLSchema__SAP_Property_Details__SAP_Ventilation__Mechanical_Vent_Heat_Recovery_Efficiency</vt:lpstr>
      <vt:lpstr>XMLSchema_Info!XMLSchema__SAP_Property_Details__SAP_Ventilation__Mechanical_Vent_Installation_Engineer</vt:lpstr>
      <vt:lpstr>XMLSchema_Info!XMLSchema__SAP_Property_Details__SAP_Ventilation__Mechanical_Vent_Measured_Installation</vt:lpstr>
      <vt:lpstr>XMLSchema_Info!XMLSchema__SAP_Property_Details__SAP_Ventilation__Mechanical_Vent_Specific_Fan_Power</vt:lpstr>
      <vt:lpstr>XMLSchema_Info!XMLSchema__SAP_Property_Details__SAP_Ventilation__Mechanical_Vent_System_Index_Number</vt:lpstr>
      <vt:lpstr>XMLSchema_Info!XMLSchema__SAP_Property_Details__SAP_Ventilation__Mechanical_Vent_System_Make_Model</vt:lpstr>
      <vt:lpstr>XMLSchema_Info!XMLSchema__SAP_Property_Details__SAP_Ventilation__Mechanical_Ventilation_Data_Source</vt:lpstr>
      <vt:lpstr>XMLSchema_Info!XMLSchema__SAP_Property_Details__SAP_Ventilation__Non_Kitchen_Duct_Fans_Count</vt:lpstr>
      <vt:lpstr>XMLSchema_Info!XMLSchema__SAP_Property_Details__SAP_Ventilation__Non_Kitchen_Duct_Fans_Specific_Power</vt:lpstr>
      <vt:lpstr>XMLSchema_Info!XMLSchema__SAP_Property_Details__SAP_Ventilation__Non_Kitchen_Room_Fans_Count</vt:lpstr>
      <vt:lpstr>XMLSchema_Info!XMLSchema__SAP_Property_Details__SAP_Ventilation__Non_Kitchen_Room_Fans_Specific_Power</vt:lpstr>
      <vt:lpstr>XMLSchema_Info!XMLSchema__SAP_Property_Details__SAP_Ventilation__Non_Kitchen_Wall_Fans_Count</vt:lpstr>
      <vt:lpstr>XMLSchema_Info!XMLSchema__SAP_Property_Details__SAP_Ventilation__Non_Kitchen_Wall_Fans_Specific_Power</vt:lpstr>
      <vt:lpstr>XMLSchema_Info!XMLSchema__SAP_Property_Details__SAP_Ventilation__Open_Chimneys_Count</vt:lpstr>
      <vt:lpstr>XMLSchema_Info!XMLSchema__SAP_Property_Details__SAP_Ventilation__Open_Flues_Count</vt:lpstr>
      <vt:lpstr>XMLSchema_Info!XMLSchema__SAP_Property_Details__SAP_Ventilation__Other_Flues_Count</vt:lpstr>
      <vt:lpstr>XMLSchema_Info!XMLSchema__SAP_Property_Details__SAP_Ventilation__Pressure_Test</vt:lpstr>
      <vt:lpstr>XMLSchema_Info!XMLSchema__SAP_Property_Details__SAP_Ventilation__Pressure_Test_Certificate_Number</vt:lpstr>
      <vt:lpstr>XMLSchema_Info!XMLSchema__SAP_Property_Details__SAP_Ventilation__PSV_Count</vt:lpstr>
      <vt:lpstr>XMLSchema_Info!XMLSchema__SAP_Property_Details__SAP_Ventilation__Sheltered_Sides_Count</vt:lpstr>
      <vt:lpstr>XMLSchema_Info!XMLSchema__SAP_Property_Details__SAP_Ventilation__Ventilation_Type</vt:lpstr>
      <vt:lpstr>XMLSchema_Info!XMLSchema__SAP_Property_Details__SAP_Ventilation__Wall_Type</vt:lpstr>
      <vt:lpstr>XMLSchema_Info!XMLSchema__SAP_Property_Details__SAP_Ventilation__Wet_Rooms_Count</vt:lpstr>
      <vt:lpstr>XMLSchema_Info!XMLSchema__SAP_Report__Energy_Assessment__Addendum</vt:lpstr>
      <vt:lpstr>XMLSchema_Info!XMLSchema__SAP_Report__Energy_Assessment__Alternative_Improvements</vt:lpstr>
      <vt:lpstr>XMLSchema_Info!XMLSchema__SAP_Report__Energy_Assessment__Assessment_Date</vt:lpstr>
      <vt:lpstr>XMLSchema_Info!XMLSchema__SAP_Report__Energy_Assessment__Energy_Use</vt:lpstr>
      <vt:lpstr>XMLSchema_Info!XMLSchema__SAP_Report__Energy_Assessment__Green_Deal_Package</vt:lpstr>
      <vt:lpstr>XMLSchema_Info!XMLSchema__SAP_Report__Energy_Assessment__LZC_Energy_Sources</vt:lpstr>
      <vt:lpstr>XMLSchema_Info!XMLSchema__SAP_Report__Energy_Assessment__Property_Summary</vt:lpstr>
      <vt:lpstr>XMLSchema_Info!XMLSchema__SAP_Report__Energy_Assessment__Renewable_Heat_Incentive</vt:lpstr>
      <vt:lpstr>XMLSchema_Info!XMLSchema__SAP_Report__Energy_Assessment__Suggested_Improvements</vt:lpstr>
      <vt:lpstr>XMLSchema_Info!XMLSchema__SAP_Report__Insurance_Details__Effective_Date</vt:lpstr>
      <vt:lpstr>XMLSchema_Info!XMLSchema__SAP_Report__Insurance_Details__Expiry_Date</vt:lpstr>
      <vt:lpstr>XMLSchema_Info!XMLSchema__SAP_Report__Insurance_Details__Insurer</vt:lpstr>
      <vt:lpstr>XMLSchema_Info!XMLSchema__SAP_Report__Insurance_Details__PI_Limit</vt:lpstr>
      <vt:lpstr>XMLSchema_Info!XMLSchema__SAP_Report__Insurance_Details__Policy_No</vt:lpstr>
      <vt:lpstr>XMLSchema_Info!XMLSchema__SAP_Report__Report_Header__Completion_Date</vt:lpstr>
      <vt:lpstr>XMLSchema_Info!XMLSchema__SAP_Report__Report_Header__Country_Code</vt:lpstr>
      <vt:lpstr>XMLSchema_Info!XMLSchema__SAP_Report__Report_Header__Home_Inspector</vt:lpstr>
      <vt:lpstr>XMLSchema_Info!XMLSchema__SAP_Report__Report_Header__Inspection_Date</vt:lpstr>
      <vt:lpstr>XMLSchema_Info!XMLSchema__SAP_Report__Report_Header__Language_Code</vt:lpstr>
      <vt:lpstr>XMLSchema_Info!XMLSchema__SAP_Report__Report_Header__Property</vt:lpstr>
      <vt:lpstr>XMLSchema_Info!XMLSchema__SAP_Report__Report_Header__Property_Type</vt:lpstr>
      <vt:lpstr>XMLSchema_Info!XMLSchema__SAP_Report__Report_Header__Region_Code</vt:lpstr>
      <vt:lpstr>XMLSchema_Info!XMLSchema__SAP_Report__Report_Header__Registration_Date</vt:lpstr>
      <vt:lpstr>XMLSchema_Info!XMLSchema__SAP_Report__Report_Header__Related_Party_Disclosure</vt:lpstr>
      <vt:lpstr>XMLSchema_Info!XMLSchema__SAP_Report__Report_Header__Report_Type</vt:lpstr>
      <vt:lpstr>XMLSchema_Info!XMLSchema__SAP_Report__Report_Header__RRN</vt:lpstr>
      <vt:lpstr>XMLSchema_Info!XMLSchema__SAP_Report__Report_Header__Seller_Commission_Report</vt:lpstr>
      <vt:lpstr>XMLSchema_Info!XMLSchema__SAP_Report__Report_Header__Status</vt:lpstr>
      <vt:lpstr>XMLSchema_Info!XMLSchema__SAP_Report__Report_Header__Tenure</vt:lpstr>
      <vt:lpstr>XMLSchema_Info!XMLSchema__SAP_Report__Report_Header__Transaction_Type</vt:lpstr>
      <vt:lpstr>XMLSchema_Info!XMLSchema__SAP_Report__SAP10_Data__Data_Type</vt:lpstr>
      <vt:lpstr>XMLSchema_Info!XMLSchema__SAP_Report__SAP10_Data__SAP_Property_Details</vt:lpstr>
      <vt:lpstr>XMLSchema_Info!XMLSchema__SAP_Roofs__SAP_Roof__Description</vt:lpstr>
      <vt:lpstr>XMLSchema_Info!XMLSchema__SAP_Roofs__SAP_Roof__Kappa_Value</vt:lpstr>
      <vt:lpstr>XMLSchema_Info!XMLSchema__SAP_Roofs__SAP_Roof__Name</vt:lpstr>
      <vt:lpstr>XMLSchema_Info!XMLSchema__SAP_Roofs__SAP_Roof__Roof_Type</vt:lpstr>
      <vt:lpstr>XMLSchema_Info!XMLSchema__SAP_Roofs__SAP_Roof__Total_Roof_Area</vt:lpstr>
      <vt:lpstr>XMLSchema_Info!XMLSchema__SAP_Roofs__SAP_Roof__U_Value</vt:lpstr>
      <vt:lpstr>XMLSchema_Info!XMLSchema__SAP_Special_Feature__Emissions_Feature__Emissions_Created</vt:lpstr>
      <vt:lpstr>XMLSchema_Info!XMLSchema__SAP_Special_Feature__Emissions_Feature__Emissions_Saved</vt:lpstr>
      <vt:lpstr>XMLSchema_Info!XMLSchema__SAP_Special_Feature__Energy_Feature__Air_Change_Rates</vt:lpstr>
      <vt:lpstr>XMLSchema_Info!XMLSchema__SAP_Special_Feature__Energy_Feature__Energy_Saved_Or_Generated</vt:lpstr>
      <vt:lpstr>XMLSchema_Info!XMLSchema__SAP_Special_Feature__Energy_Feature__Energy_Used</vt:lpstr>
      <vt:lpstr>XMLSchema_Info!XMLSchema__SAP_Special_Feature__Energy_Feature__Energy_Used_Fuel</vt:lpstr>
      <vt:lpstr>XMLSchema_Info!XMLSchema__SAP_Special_Feature__Energy_Feature__Saved_Or_Generated_Fuel</vt:lpstr>
      <vt:lpstr>XMLSchema_Info!XMLSchema__SAP_Special_Features__SAP_Special_Feature__Description</vt:lpstr>
      <vt:lpstr>XMLSchema_Info!XMLSchema__SAP_Special_Features__SAP_Special_Feature__Emissions_Feature</vt:lpstr>
      <vt:lpstr>XMLSchema_Info!XMLSchema__SAP_Special_Features__SAP_Special_Feature__Energy_Feature</vt:lpstr>
      <vt:lpstr>XMLSchema_Info!XMLSchema__SAP_Thermal_Bridges__SAP_Thermal_Bridge__Length</vt:lpstr>
      <vt:lpstr>XMLSchema_Info!XMLSchema__SAP_Thermal_Bridges__SAP_Thermal_Bridge__Psi_Value</vt:lpstr>
      <vt:lpstr>XMLSchema_Info!XMLSchema__SAP_Thermal_Bridges__SAP_Thermal_Bridge__Psi_Value_Calculation_Reference</vt:lpstr>
      <vt:lpstr>XMLSchema_Info!XMLSchema__SAP_Thermal_Bridges__SAP_Thermal_Bridge__Psi_Value_Source</vt:lpstr>
      <vt:lpstr>XMLSchema_Info!XMLSchema__SAP_Thermal_Bridges__SAP_Thermal_Bridge__Thermal_Bridge_Type</vt:lpstr>
      <vt:lpstr>XMLSchema_Info!XMLSchema__SAP_Walls__SAP_Wall__Description</vt:lpstr>
      <vt:lpstr>XMLSchema_Info!XMLSchema__SAP_Walls__SAP_Wall__Is_Curtain_Walling</vt:lpstr>
      <vt:lpstr>XMLSchema_Info!XMLSchema__SAP_Walls__SAP_Wall__Kappa_Value</vt:lpstr>
      <vt:lpstr>XMLSchema_Info!XMLSchema__SAP_Walls__SAP_Wall__Name</vt:lpstr>
      <vt:lpstr>XMLSchema_Info!XMLSchema__SAP_Walls__SAP_Wall__Total_Wall_Area</vt:lpstr>
      <vt:lpstr>XMLSchema_Info!XMLSchema__SAP_Walls__SAP_Wall__U_Value</vt:lpstr>
      <vt:lpstr>XMLSchema_Info!XMLSchema__SAP_Walls__SAP_Wall__Wall_Type</vt:lpstr>
      <vt:lpstr>XMLSchema_Info!XMLSchema__SAP10_Data__SAP_Property_Details__Additional_Allowable_Electricity_Generation</vt:lpstr>
      <vt:lpstr>XMLSchema_Info!XMLSchema__SAP10_Data__SAP_Property_Details__Battery_Capacity</vt:lpstr>
      <vt:lpstr>XMLSchema_Info!XMLSchema__SAP10_Data__SAP_Property_Details__Built_Form</vt:lpstr>
      <vt:lpstr>XMLSchema_Info!XMLSchema__SAP10_Data__SAP_Property_Details__Cold_Water_Source</vt:lpstr>
      <vt:lpstr>XMLSchema_Info!XMLSchema__SAP10_Data__SAP_Property_Details__Conservatory_Type</vt:lpstr>
      <vt:lpstr>XMLSchema_Info!XMLSchema__SAP10_Data__SAP_Property_Details__Design_Water_Use</vt:lpstr>
      <vt:lpstr>XMLSchema_Info!XMLSchema__SAP10_Data__SAP_Property_Details__Electricity_Smart_Meter_Present</vt:lpstr>
      <vt:lpstr>XMLSchema_Info!XMLSchema__SAP10_Data__SAP_Property_Details__Energy_Saved_Or_Generated</vt:lpstr>
      <vt:lpstr>XMLSchema_Info!XMLSchema__SAP10_Data__SAP_Property_Details__Energy_Used</vt:lpstr>
      <vt:lpstr>XMLSchema_Info!XMLSchema__SAP10_Data__SAP_Property_Details__Energy_Used_Fuel</vt:lpstr>
      <vt:lpstr>XMLSchema_Info!XMLSchema__SAP10_Data__SAP_Property_Details__Gas_Smart_Meter_Present</vt:lpstr>
      <vt:lpstr>XMLSchema_Info!XMLSchema__SAP10_Data__SAP_Property_Details__Has_Special_Feature</vt:lpstr>
      <vt:lpstr>XMLSchema_Info!XMLSchema__SAP10_Data__SAP_Property_Details__Is_Dwelling_Export_Capable</vt:lpstr>
      <vt:lpstr>XMLSchema_Info!XMLSchema__SAP10_Data__SAP_Property_Details__Is_In_Smoke_Control_Area</vt:lpstr>
      <vt:lpstr>XMLSchema_Info!XMLSchema__SAP10_Data__SAP_Property_Details__Is_Wind_Turbine_Connected_To_Dwelling_Meter</vt:lpstr>
      <vt:lpstr>XMLSchema_Info!XMLSchema__SAP10_Data__SAP_Property_Details__Living_Area</vt:lpstr>
      <vt:lpstr>XMLSchema_Info!XMLSchema__SAP10_Data__SAP_Property_Details__Lowest_Storey_Area</vt:lpstr>
      <vt:lpstr>XMLSchema_Info!XMLSchema__SAP10_Data__SAP_Property_Details__Orientation</vt:lpstr>
      <vt:lpstr>XMLSchema_Info!XMLSchema__SAP10_Data__SAP_Property_Details__Property_Type</vt:lpstr>
      <vt:lpstr>XMLSchema_Info!XMLSchema__SAP10_Data__SAP_Property_Details__PV_Connection</vt:lpstr>
      <vt:lpstr>XMLSchema_Info!XMLSchema__SAP10_Data__SAP_Property_Details__PV_Diverter</vt:lpstr>
      <vt:lpstr>XMLSchema_Info!XMLSchema__SAP10_Data__SAP_Property_Details__SAP_Building_Parts</vt:lpstr>
      <vt:lpstr>XMLSchema_Info!XMLSchema__SAP10_Data__SAP_Property_Details__SAP_Cooling</vt:lpstr>
      <vt:lpstr>XMLSchema_Info!XMLSchema__SAP10_Data__SAP_Property_Details__SAP_Deselected_Improvements</vt:lpstr>
      <vt:lpstr>XMLSchema_Info!XMLSchema__SAP10_Data__SAP_Property_Details__SAP_Energy_Source</vt:lpstr>
      <vt:lpstr>XMLSchema_Info!XMLSchema__SAP10_Data__SAP_Property_Details__SAP_Flat_Details</vt:lpstr>
      <vt:lpstr>XMLSchema_Info!XMLSchema__SAP10_Data__SAP_Property_Details__SAP_Heating</vt:lpstr>
      <vt:lpstr>XMLSchema_Info!XMLSchema__SAP10_Data__SAP_Property_Details__SAP_Lighting</vt:lpstr>
      <vt:lpstr>XMLSchema_Info!XMLSchema__SAP10_Data__SAP_Property_Details__SAP_Opening_Types</vt:lpstr>
      <vt:lpstr>XMLSchema_Info!XMLSchema__SAP10_Data__SAP_Property_Details__SAP_Special_Features</vt:lpstr>
      <vt:lpstr>XMLSchema_Info!XMLSchema__SAP10_Data__SAP_Property_Details__SAP_Ventilation</vt:lpstr>
      <vt:lpstr>XMLSchema_Info!XMLSchema__SAP10_Data__SAP_Property_Details__Saved_Or_Generated_Fuel</vt:lpstr>
      <vt:lpstr>XMLSchema_Info!XMLSchema__SAP10_Data__SAP_Property_Details__Special_Feature_Description</vt:lpstr>
      <vt:lpstr>XMLSchema_Info!XMLSchema__SAP10_Data__SAP_Property_Details__Terrain_Type</vt:lpstr>
      <vt:lpstr>XMLSchema_Info!XMLSchema__SAP10_Data__SAP_Property_Details__Thermal_Mass_Parameter</vt:lpstr>
      <vt:lpstr>XMLSchema_Info!XMLSchema__SAP10_Data__SAP_Property_Details__Windows_Overshading</vt:lpstr>
      <vt:lpstr>XMLSchema_Info!XMLSchema__Shower_Outlets__Shower_Outlet__Shower_Flow_Rate</vt:lpstr>
      <vt:lpstr>XMLSchema_Info!XMLSchema__Shower_Outlets__Shower_Outlet__Shower_Outlet_Type</vt:lpstr>
      <vt:lpstr>XMLSchema_Info!XMLSchema__Shower_Outlets__Shower_Outlet__Shower_Power</vt:lpstr>
      <vt:lpstr>XMLSchema_Info!XMLSchema__Shower_Outlets__Shower_Outlet__Shower_WWHRS</vt:lpstr>
      <vt:lpstr>XMLSchema_Info!XMLSchema__Storage_Heaters__Storage_Heater__High_Heat_Retention</vt:lpstr>
      <vt:lpstr>XMLSchema_Info!XMLSchema__Storage_Heaters__Storage_Heater__Index_Number</vt:lpstr>
      <vt:lpstr>XMLSchema_Info!XMLSchema__Storage_Heaters__Storage_Heater__Number_Of_Heaters</vt:lpstr>
      <vt:lpstr>XMLSchema_Info!XMLSchema__Suggested_Improvements__Improvement__Energy_Performance_Rating</vt:lpstr>
      <vt:lpstr>XMLSchema_Info!XMLSchema__Suggested_Improvements__Improvement__Environmental_Impact_Rating</vt:lpstr>
      <vt:lpstr>XMLSchema_Info!XMLSchema__Suggested_Improvements__Improvement__Green_Deal_Category</vt:lpstr>
      <vt:lpstr>XMLSchema_Info!XMLSchema__Suggested_Improvements__Improvement__Improvement_Category</vt:lpstr>
      <vt:lpstr>XMLSchema_Info!XMLSchema__Suggested_Improvements__Improvement__Improvement_Details</vt:lpstr>
      <vt:lpstr>XMLSchema_Info!XMLSchema__Suggested_Improvements__Improvement__Improvement_Type</vt:lpstr>
      <vt:lpstr>XMLSchema_Info!XMLSchema__Suggested_Improvements__Improvement__Indicative_Cost</vt:lpstr>
      <vt:lpstr>XMLSchema_Info!XMLSchema__Suggested_Improvements__Improvement__Sequence</vt:lpstr>
      <vt:lpstr>XMLSchema_Info!XMLSchema__Suggested_Improvements__Improvement__Typical_Saving</vt:lpstr>
      <vt:lpstr>XMLSchema_Info!XMLSchema__Wind_Turbines__Wind_Turbine__Wind_Turbine_Certificate</vt:lpstr>
      <vt:lpstr>XMLSchema_Info!XMLSchema__Wind_Turbines__Wind_Turbine__Wind_Turbine_Hub_Height</vt:lpstr>
      <vt:lpstr>XMLSchema_Info!XMLSchema__Wind_Turbines__Wind_Turbine__Wind_Turbine_Manufacturer_Name</vt:lpstr>
      <vt:lpstr>XMLSchema_Info!XMLSchema__Wind_Turbines__Wind_Turbine__Wind_Turbine_Rotor_Diameter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Firth</dc:creator>
  <cp:lastModifiedBy>Steven Firth</cp:lastModifiedBy>
  <dcterms:created xsi:type="dcterms:W3CDTF">2024-10-30T11:06:35Z</dcterms:created>
  <dcterms:modified xsi:type="dcterms:W3CDTF">2025-03-04T06:43:11Z</dcterms:modified>
</cp:coreProperties>
</file>